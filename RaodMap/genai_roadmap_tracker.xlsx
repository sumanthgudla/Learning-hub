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hase 1" sheetId="2" state="visible" r:id="rId4"/>
    <sheet name="Phase 2" sheetId="3" state="visible" r:id="rId5"/>
    <sheet name="Phase 3" sheetId="4" state="visible" r:id="rId6"/>
    <sheet name="Phase 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<sst xmlns="http://schemas.openxmlformats.org/spreadsheetml/2006/main" count="234" uniqueCount="150">
  <si>
    <t xml:space="preserve">🤖  Generative AI Learning Roadmap</t>
  </si>
  <si>
    <t xml:space="preserve">Track your progress — mark topics ✓ in each phase sheet</t>
  </si>
  <si>
    <t xml:space="preserve">Phase</t>
  </si>
  <si>
    <t xml:space="preserve">Topics</t>
  </si>
  <si>
    <t xml:space="preserve">Completed</t>
  </si>
  <si>
    <t xml:space="preserve">Progress</t>
  </si>
  <si>
    <t xml:space="preserve">Phase 1 — Text, Tokens &amp; Embeddings</t>
  </si>
  <si>
    <t xml:space="preserve">Phase 2 — Language Models &amp; Transformers</t>
  </si>
  <si>
    <t xml:space="preserve">Phase 3 — LLM Ecosystem &amp; Prompting</t>
  </si>
  <si>
    <t xml:space="preserve">Phase 4 — RAG, Agents &amp; Production</t>
  </si>
  <si>
    <t xml:space="preserve">TOTAL</t>
  </si>
  <si>
    <t xml:space="preserve">Duration: 2–3 weeks</t>
  </si>
  <si>
    <t xml:space="preserve">#</t>
  </si>
  <si>
    <t xml:space="preserve">Topic</t>
  </si>
  <si>
    <t xml:space="preserve">Status</t>
  </si>
  <si>
    <t xml:space="preserve">Description</t>
  </si>
  <si>
    <t xml:space="preserve">My Notes</t>
  </si>
  <si>
    <t xml:space="preserve">What is Text?</t>
  </si>
  <si>
    <t xml:space="preserve">To Do</t>
  </si>
  <si>
    <t xml:space="preserve">Characters, Unicode, ASCII — how computers store text</t>
  </si>
  <si>
    <t xml:space="preserve">Tokenization</t>
  </si>
  <si>
    <t xml:space="preserve">Word vs subword vs char tokens; BPE, WordPiece, SentencePiece</t>
  </si>
  <si>
    <t xml:space="preserve">Vocabulary &amp; Token IDs</t>
  </si>
  <si>
    <t xml:space="preserve">How a tokenizer maps words → integers</t>
  </si>
  <si>
    <t xml:space="preserve">Context Window</t>
  </si>
  <si>
    <t xml:space="preserve">Max tokens a model can 'see' at once; why it matters</t>
  </si>
  <si>
    <t xml:space="preserve">Positional Encoding</t>
  </si>
  <si>
    <t xml:space="preserve">How transformers know token order; absolute vs RoPE vs ALiBi</t>
  </si>
  <si>
    <t xml:space="preserve">Embeddings — What</t>
  </si>
  <si>
    <t xml:space="preserve">Dense vectors that represent meaning, not just spelling</t>
  </si>
  <si>
    <t xml:space="preserve">Embeddings — How</t>
  </si>
  <si>
    <t xml:space="preserve">Word2Vec intuition: words with similar context → close vectors</t>
  </si>
  <si>
    <t xml:space="preserve">Vector Space</t>
  </si>
  <si>
    <t xml:space="preserve">Cosine similarity, dot product; 'king − man + woman = queen'</t>
  </si>
  <si>
    <t xml:space="preserve">Sparse vs Dense Vectors</t>
  </si>
  <si>
    <t xml:space="preserve">TF-IDF / BM25 (sparse) vs embedding (dense); when to use each</t>
  </si>
  <si>
    <t xml:space="preserve">Embedding Models</t>
  </si>
  <si>
    <t xml:space="preserve">OpenAI text-embedding-3, sentence-transformers, BAAI/bge</t>
  </si>
  <si>
    <t xml:space="preserve">Semantic Search</t>
  </si>
  <si>
    <t xml:space="preserve">Using embeddings to find 'meaning-similar' docs, not keyword match</t>
  </si>
  <si>
    <t xml:space="preserve">Duration: 3–4 weeks</t>
  </si>
  <si>
    <t xml:space="preserve">Neural Network basics</t>
  </si>
  <si>
    <t xml:space="preserve">Layers, weights, activations — intuition only, no math</t>
  </si>
  <si>
    <t xml:space="preserve">Softmax</t>
  </si>
  <si>
    <t xml:space="preserve">Converts raw scores to probabilities that sum to 1; used everywhere</t>
  </si>
  <si>
    <t xml:space="preserve">Attention mechanism</t>
  </si>
  <si>
    <t xml:space="preserve">Why attention: letting each token 'look at' all others</t>
  </si>
  <si>
    <t xml:space="preserve">Self-Attention</t>
  </si>
  <si>
    <t xml:space="preserve">Query, Key, Value explained conceptually; scores → weights</t>
  </si>
  <si>
    <t xml:space="preserve">Multi-Head Attention</t>
  </si>
  <si>
    <t xml:space="preserve">Multiple attention 'perspectives' in parallel</t>
  </si>
  <si>
    <t xml:space="preserve">Transformer architecture</t>
  </si>
  <si>
    <t xml:space="preserve">Encoder-Decoder vs Decoder-only; residual, layer norm</t>
  </si>
  <si>
    <t xml:space="preserve">KV Cache</t>
  </si>
  <si>
    <t xml:space="preserve">Caching past Key/Value pairs to avoid recomputation; critical for speed</t>
  </si>
  <si>
    <t xml:space="preserve">Beam search &amp; Greedy decode</t>
  </si>
  <si>
    <t xml:space="preserve">Greedy picks top-1 each step; beam search explores N paths</t>
  </si>
  <si>
    <t xml:space="preserve">Temperature &amp; Sampling</t>
  </si>
  <si>
    <t xml:space="preserve">Top-k, Top-p (nucleus), temperature; creativity vs determinism</t>
  </si>
  <si>
    <t xml:space="preserve">Pre-training</t>
  </si>
  <si>
    <t xml:space="preserve">Next-token prediction on massive corpora; learning language stats</t>
  </si>
  <si>
    <t xml:space="preserve">Instruction tuning</t>
  </si>
  <si>
    <t xml:space="preserve">Supervised fine-tuning on (instruction, response) pairs; ChatGPT origin</t>
  </si>
  <si>
    <t xml:space="preserve">Fine-tuning</t>
  </si>
  <si>
    <t xml:space="preserve">Adapting a pre-trained model on a small task-specific dataset</t>
  </si>
  <si>
    <t xml:space="preserve">RLHF</t>
  </si>
  <si>
    <t xml:space="preserve">Reinforcement Learning from Human Feedback; reward model concept</t>
  </si>
  <si>
    <t xml:space="preserve">DPO</t>
  </si>
  <si>
    <t xml:space="preserve">Direct Preference Optimization; simpler RLHF alternative, no reward model</t>
  </si>
  <si>
    <t xml:space="preserve">LoRA / PEFT</t>
  </si>
  <si>
    <t xml:space="preserve">Efficient fine-tuning by training only small adapter matrices</t>
  </si>
  <si>
    <t xml:space="preserve">Mixture of Experts (MoE)</t>
  </si>
  <si>
    <t xml:space="preserve">Only subset of 'expert' layers activate per token; Mixtral, GPT-4</t>
  </si>
  <si>
    <t xml:space="preserve">Model Families</t>
  </si>
  <si>
    <t xml:space="preserve">GPT-4, Claude, Gemini, Llama, Mistral — key differences</t>
  </si>
  <si>
    <t xml:space="preserve">Parameters &amp; Scale</t>
  </si>
  <si>
    <t xml:space="preserve">What 7B / 70B / 405B means; scaling laws intuition</t>
  </si>
  <si>
    <t xml:space="preserve">Prompt Engineering</t>
  </si>
  <si>
    <t xml:space="preserve">Zero-shot, few-shot, chain-of-thought, role prompts</t>
  </si>
  <si>
    <t xml:space="preserve">System vs User prompts</t>
  </si>
  <si>
    <t xml:space="preserve">How system prompt shapes model behavior; persona setting</t>
  </si>
  <si>
    <t xml:space="preserve">Prompt patterns</t>
  </si>
  <si>
    <t xml:space="preserve">ReAct, Tree of Thought, Self-Consistency — when to use each</t>
  </si>
  <si>
    <t xml:space="preserve">Hallucination</t>
  </si>
  <si>
    <t xml:space="preserve">Why LLMs confabulate; grounding techniques to reduce it</t>
  </si>
  <si>
    <t xml:space="preserve">Context stuffing</t>
  </si>
  <si>
    <t xml:space="preserve">Putting docs in context vs retrieval; trade-offs</t>
  </si>
  <si>
    <t xml:space="preserve">Token counting &amp; cost</t>
  </si>
  <si>
    <t xml:space="preserve">tiktoken, counting prompt tokens, estimating API cost before calling</t>
  </si>
  <si>
    <t xml:space="preserve">OpenAI / Anthropic API</t>
  </si>
  <si>
    <t xml:space="preserve">Messages array, roles, max_tokens, stop sequences</t>
  </si>
  <si>
    <t xml:space="preserve">Function Calling / Tools</t>
  </si>
  <si>
    <t xml:space="preserve">Structured JSON output; tool use pattern</t>
  </si>
  <si>
    <t xml:space="preserve">Structured output / JSON mode</t>
  </si>
  <si>
    <t xml:space="preserve">Force model to output valid JSON; Pydantic + instructor pattern</t>
  </si>
  <si>
    <t xml:space="preserve">Streaming responses</t>
  </si>
  <si>
    <t xml:space="preserve">Why stream; SSE, delta chunks in API</t>
  </si>
  <si>
    <t xml:space="preserve">Conversation memory types</t>
  </si>
  <si>
    <t xml:space="preserve">Buffer, summary, window memory; trade-offs for long chats</t>
  </si>
  <si>
    <t xml:space="preserve">Multimodal inputs</t>
  </si>
  <si>
    <t xml:space="preserve">Vision (GPT-4V, Claude), audio, image embeddings — concept</t>
  </si>
  <si>
    <t xml:space="preserve">LangChain basics</t>
  </si>
  <si>
    <t xml:space="preserve">Chains, prompt templates, memory, output parsers</t>
  </si>
  <si>
    <t xml:space="preserve">LlamaIndex basics</t>
  </si>
  <si>
    <t xml:space="preserve">Document loaders, index types, query engines</t>
  </si>
  <si>
    <t xml:space="preserve">Evaluation basics</t>
  </si>
  <si>
    <t xml:space="preserve">BLEU, ROUGE, human eval, LLM-as-judge pattern</t>
  </si>
  <si>
    <t xml:space="preserve">Duration: 4–6 weeks</t>
  </si>
  <si>
    <t xml:space="preserve">Vector Databases</t>
  </si>
  <si>
    <t xml:space="preserve">Pinecone, Weaviate, Qdrant, pgvector — HNSW indexing idea</t>
  </si>
  <si>
    <t xml:space="preserve">RAG — Architecture</t>
  </si>
  <si>
    <t xml:space="preserve">Retrieve → Augment → Generate pipeline end-to-end</t>
  </si>
  <si>
    <t xml:space="preserve">RAG — Chunking</t>
  </si>
  <si>
    <t xml:space="preserve">Fixed, recursive, semantic chunking; chunk size trade-offs</t>
  </si>
  <si>
    <t xml:space="preserve">RAG — Retrieval</t>
  </si>
  <si>
    <t xml:space="preserve">Dense retrieval (embeddings) vs sparse (BM25) vs hybrid</t>
  </si>
  <si>
    <t xml:space="preserve">RAG — Reranking</t>
  </si>
  <si>
    <t xml:space="preserve">Cross-encoder reranker; why reranking beats top-k alone</t>
  </si>
  <si>
    <t xml:space="preserve">RAG — Evaluation</t>
  </si>
  <si>
    <t xml:space="preserve">RAGAS framework: faithfulness, answer relevancy, context precision</t>
  </si>
  <si>
    <t xml:space="preserve">Fine-tuning vs RAG</t>
  </si>
  <si>
    <t xml:space="preserve">When to fine-tune vs RAG vs both; classic interview decision Q</t>
  </si>
  <si>
    <t xml:space="preserve">GraphRAG / Knowledge Graphs</t>
  </si>
  <si>
    <t xml:space="preserve">Neo4j + LLM; entity-relationship retrieval beyond vector search</t>
  </si>
  <si>
    <t xml:space="preserve">Embedding drift &amp; re-index</t>
  </si>
  <si>
    <t xml:space="preserve">Why embeddings go stale; scheduled re-embedding strategies</t>
  </si>
  <si>
    <t xml:space="preserve">Agents</t>
  </si>
  <si>
    <t xml:space="preserve">LLM + tools in a loop: plan → act → observe → repeat</t>
  </si>
  <si>
    <t xml:space="preserve">Tool use patterns</t>
  </si>
  <si>
    <t xml:space="preserve">Calculator, web search, code interpreter, DB query tools</t>
  </si>
  <si>
    <t xml:space="preserve">Multi-agent systems</t>
  </si>
  <si>
    <t xml:space="preserve">Orchestrator + worker agents; CrewAI / AutoGen patterns</t>
  </si>
  <si>
    <t xml:space="preserve">Memory in Agents</t>
  </si>
  <si>
    <t xml:space="preserve">Short-term (context), long-term (vector store), episodic</t>
  </si>
  <si>
    <t xml:space="preserve">Guardrails &amp; Safety</t>
  </si>
  <si>
    <t xml:space="preserve">Input/output filtering, prompt injection defense, PII masking</t>
  </si>
  <si>
    <t xml:space="preserve">Prompt injection attacks</t>
  </si>
  <si>
    <t xml:space="preserve">Direct vs indirect injection; jailbreaks; defence strategies</t>
  </si>
  <si>
    <t xml:space="preserve">Latency &amp; Cost</t>
  </si>
  <si>
    <t xml:space="preserve">Prompt caching, batching, model tiers, token budgeting</t>
  </si>
  <si>
    <t xml:space="preserve">Observability</t>
  </si>
  <si>
    <t xml:space="preserve">LangSmith / Langfuse tracing; logging inputs, outputs, latency</t>
  </si>
  <si>
    <t xml:space="preserve">A/B testing LLM outputs</t>
  </si>
  <si>
    <t xml:space="preserve">Shadow mode, canary deployments, comparing model versions</t>
  </si>
  <si>
    <t xml:space="preserve">Prompt versioning</t>
  </si>
  <si>
    <t xml:space="preserve">Tracking prompt changes like code; PromptLayer, LangSmith</t>
  </si>
  <si>
    <t xml:space="preserve">Deployment patterns</t>
  </si>
  <si>
    <t xml:space="preserve">REST API wrapper, streaming endpoint, async queues</t>
  </si>
  <si>
    <t xml:space="preserve">Common interview Qs</t>
  </si>
  <si>
    <t xml:space="preserve">RAG vs fine-tuning, hallucination, token limits, KV cache, MoE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</si>
</sst>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252F"/>
      <name val="Arial"/>
      <family val="0"/>
      <charset val="1"/>
    </font>
    <font>
      <sz val="10"/>
      <color rgb="FF7F8C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52F"/>
      <name val="Arial"/>
      <family val="0"/>
      <charset val="1"/>
    </font>
    <font>
      <sz val="10"/>
      <color rgb="FF1A252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95A5A6"/>
      <name val="Arial"/>
      <family val="0"/>
      <charset val="1"/>
    </font>
    <font>
      <sz val="10"/>
      <color rgb="FF5D6D7E"/>
      <name val="Arial"/>
      <family val="0"/>
      <charset val="1"/>
    </font>
    <font>
      <b val="true"/>
      <sz val="10"/>
      <color rgb="FF2C3E5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C3E50"/>
        <bgColor rgb="FF1A5276"/>
      </patternFill>
    </fill>
    <fill>
      <patternFill patternType="solid">
        <fgColor rgb="FFB3B380"/>
        <bgColor rgb="FF95A5A6"/>
      </patternFill>
    </fill>
    <fill>
      <patternFill patternType="solid">
        <fgColor rgb="FFFDFEFE"/>
        <bgColor rgb="FFFFFFFF"/>
      </patternFill>
    </fill>
    <fill>
      <patternFill patternType="solid">
        <fgColor rgb="FFD1FF80"/>
        <bgColor rgb="FFD5F580"/>
      </patternFill>
    </fill>
    <fill>
      <patternFill patternType="solid">
        <fgColor rgb="FFE6C980"/>
        <bgColor rgb="FFB3B380"/>
      </patternFill>
    </fill>
    <fill>
      <patternFill patternType="solid">
        <fgColor rgb="FFD5F580"/>
        <bgColor rgb="FFD1FF80"/>
      </patternFill>
    </fill>
    <fill>
      <patternFill patternType="solid">
        <fgColor rgb="FFC0392B"/>
        <bgColor rgb="FF993366"/>
      </patternFill>
    </fill>
    <fill>
      <patternFill patternType="solid">
        <fgColor rgb="FFF4F6F7"/>
        <bgColor rgb="FFFDFEFE"/>
      </patternFill>
    </fill>
    <fill>
      <patternFill patternType="solid">
        <fgColor rgb="FF1A5276"/>
        <bgColor rgb="FF2C3E50"/>
      </patternFill>
    </fill>
    <fill>
      <patternFill patternType="solid">
        <fgColor rgb="FF1E8449"/>
        <bgColor rgb="FF008080"/>
      </patternFill>
    </fill>
    <fill>
      <patternFill patternType="solid">
        <fgColor rgb="FF6C3483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80"/>
      <rgbColor rgb="FF7F8C8D"/>
      <rgbColor rgb="FF9999FF"/>
      <rgbColor rgb="FF6C3483"/>
      <rgbColor rgb="FFFDFEFE"/>
      <rgbColor rgb="FFF4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F80"/>
      <rgbColor rgb="FFD5F580"/>
      <rgbColor rgb="FF99CCFF"/>
      <rgbColor rgb="FFFF99CC"/>
      <rgbColor rgb="FFCC99FF"/>
      <rgbColor rgb="FFE6C980"/>
      <rgbColor rgb="FF3366FF"/>
      <rgbColor rgb="FF33CCCC"/>
      <rgbColor rgb="FF99CC00"/>
      <rgbColor rgb="FFFFCC00"/>
      <rgbColor rgb="FFFF9900"/>
      <rgbColor rgb="FFFF6600"/>
      <rgbColor rgb="FF5D6D7E"/>
      <rgbColor rgb="FF95A5A6"/>
      <rgbColor rgb="FF1A5276"/>
      <rgbColor rgb="FF1E8449"/>
      <rgbColor rgb="FF003300"/>
      <rgbColor rgb="FF1A252F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5" min="3" style="1" width="16"/>
  </cols>
  <sheetData>
    <row r="2" customFormat="false" ht="21.75" hidden="false" customHeight="true" outlineLevel="0" collapsed="false">
      <c r="B2" s="2" t="s">
        <v>0</v>
      </c>
      <c r="C2" s="2"/>
      <c r="D2" s="2"/>
      <c r="E2" s="2"/>
    </row>
    <row r="4" customFormat="false" ht="15" hidden="false" customHeight="true" outlineLevel="0" collapsed="false">
      <c r="B4" s="3" t="s">
        <v>1</v>
      </c>
      <c r="C4" s="3"/>
      <c r="D4" s="3"/>
      <c r="E4" s="3"/>
    </row>
    <row r="6" customFormat="false" ht="15" hidden="false" customHeight="true" outlineLevel="0" collapsed="false">
      <c r="B6" s="4" t="s">
        <v>2</v>
      </c>
      <c r="C6" s="4" t="s">
        <v>3</v>
      </c>
      <c r="D6" s="4" t="s">
        <v>4</v>
      </c>
      <c r="E6" s="4" t="s">
        <v>5</v>
      </c>
    </row>
    <row r="7" customFormat="false" ht="15" hidden="false" customHeight="true" outlineLevel="0" collapsed="false">
      <c r="B7" s="5" t="s">
        <v>6</v>
      </c>
      <c r="C7" s="6" t="n">
        <v>11</v>
      </c>
      <c r="D7" s="7" t="n">
        <f aca="false">COUNTIF('Phase 1'!D7:D17,"Done")</f>
        <v>0</v>
      </c>
      <c r="E7" s="8" t="n">
        <f aca="false">IFERROR(D7/C7,0)</f>
        <v>0</v>
      </c>
    </row>
    <row r="8" customFormat="false" ht="15" hidden="false" customHeight="true" outlineLevel="0" collapsed="false">
      <c r="B8" s="9" t="s">
        <v>7</v>
      </c>
      <c r="C8" s="6" t="n">
        <v>18</v>
      </c>
      <c r="D8" s="7" t="n">
        <f aca="false">COUNTIF('Phase 2'!D7:D24,"Done")</f>
        <v>0</v>
      </c>
      <c r="E8" s="8" t="n">
        <f aca="false">IFERROR(D8/C8,0)</f>
        <v>0</v>
      </c>
    </row>
    <row r="9" customFormat="false" ht="15" hidden="false" customHeight="true" outlineLevel="0" collapsed="false">
      <c r="B9" s="10" t="s">
        <v>8</v>
      </c>
      <c r="C9" s="6" t="n">
        <v>15</v>
      </c>
      <c r="D9" s="7" t="n">
        <f aca="false">COUNTIF('Phase 3'!D7:D21,"Done")</f>
        <v>0</v>
      </c>
      <c r="E9" s="8" t="n">
        <f aca="false">IFERROR(D9/C9,0)</f>
        <v>0</v>
      </c>
    </row>
    <row r="10" customFormat="false" ht="15" hidden="false" customHeight="true" outlineLevel="0" collapsed="false">
      <c r="B10" s="11" t="s">
        <v>9</v>
      </c>
      <c r="C10" s="6" t="n">
        <v>21</v>
      </c>
      <c r="D10" s="7" t="n">
        <f aca="false">COUNTIF('Phase 4'!D7:D27,"Done")</f>
        <v>0</v>
      </c>
      <c r="E10" s="8" t="n">
        <f aca="false">IFERROR(D10/C10,0)</f>
        <v>0</v>
      </c>
    </row>
    <row r="11" customFormat="false" ht="15" hidden="false" customHeight="true" outlineLevel="0" collapsed="false">
      <c r="B11" s="4" t="s">
        <v>10</v>
      </c>
      <c r="C11" s="4" t="n">
        <f aca="false">SUM(C7:C10)</f>
        <v>65</v>
      </c>
      <c r="D11" s="4" t="n">
        <f aca="false">SUM(D7:D10)</f>
        <v>0</v>
      </c>
      <c r="E11" s="12" t="n">
        <f aca="false">IFERROR(D11/C11,0)</f>
        <v>0</v>
      </c>
    </row>
  </sheetData>
  <mergeCells count="2">
    <mergeCell ref="B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6" min="6" style="1" width="24"/>
  </cols>
  <sheetData>
    <row r="2" customFormat="false" ht="27.75" hidden="false" customHeight="true" outlineLevel="0" collapsed="false">
      <c r="B2" s="13" t="s">
        <v>6</v>
      </c>
      <c r="C2" s="13"/>
      <c r="D2" s="13"/>
      <c r="E2" s="13"/>
      <c r="F2" s="13"/>
    </row>
    <row r="3" customFormat="false" ht="18" hidden="false" customHeight="true" outlineLevel="0" collapsed="false">
      <c r="B3" s="14" t="s">
        <v>11</v>
      </c>
      <c r="C3" s="14"/>
      <c r="D3" s="14"/>
      <c r="E3" s="14"/>
      <c r="F3" s="14"/>
    </row>
    <row r="6" customFormat="false" ht="19.5" hidden="false" customHeight="true" outlineLevel="0" collapsed="false"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</row>
    <row r="7" customFormat="false" ht="18" hidden="false" customHeight="true" outlineLevel="0" collapsed="false">
      <c r="B7" s="15" t="n">
        <v>1</v>
      </c>
      <c r="C7" s="16" t="s">
        <v>17</v>
      </c>
      <c r="D7" s="17" t="s">
        <v>18</v>
      </c>
      <c r="E7" s="18" t="s">
        <v>19</v>
      </c>
      <c r="F7" s="19"/>
    </row>
    <row r="8" customFormat="false" ht="18" hidden="false" customHeight="true" outlineLevel="0" collapsed="false">
      <c r="B8" s="20" t="n">
        <v>2</v>
      </c>
      <c r="C8" s="21" t="s">
        <v>20</v>
      </c>
      <c r="D8" s="22" t="s">
        <v>18</v>
      </c>
      <c r="E8" s="23" t="s">
        <v>21</v>
      </c>
      <c r="F8" s="24"/>
    </row>
    <row r="9" customFormat="false" ht="18" hidden="false" customHeight="true" outlineLevel="0" collapsed="false">
      <c r="B9" s="15" t="n">
        <v>3</v>
      </c>
      <c r="C9" s="16" t="s">
        <v>22</v>
      </c>
      <c r="D9" s="17" t="s">
        <v>18</v>
      </c>
      <c r="E9" s="18" t="s">
        <v>23</v>
      </c>
      <c r="F9" s="19"/>
    </row>
    <row r="10" customFormat="false" ht="18" hidden="false" customHeight="true" outlineLevel="0" collapsed="false">
      <c r="B10" s="20" t="n">
        <v>4</v>
      </c>
      <c r="C10" s="21" t="s">
        <v>24</v>
      </c>
      <c r="D10" s="22" t="s">
        <v>18</v>
      </c>
      <c r="E10" s="23" t="s">
        <v>25</v>
      </c>
      <c r="F10" s="24"/>
    </row>
    <row r="11" customFormat="false" ht="18" hidden="false" customHeight="true" outlineLevel="0" collapsed="false">
      <c r="B11" s="15" t="n">
        <v>5</v>
      </c>
      <c r="C11" s="16" t="s">
        <v>26</v>
      </c>
      <c r="D11" s="17" t="s">
        <v>18</v>
      </c>
      <c r="E11" s="18" t="s">
        <v>27</v>
      </c>
      <c r="F11" s="19"/>
    </row>
    <row r="12" customFormat="false" ht="18" hidden="false" customHeight="true" outlineLevel="0" collapsed="false">
      <c r="B12" s="20" t="n">
        <v>6</v>
      </c>
      <c r="C12" s="21" t="s">
        <v>28</v>
      </c>
      <c r="D12" s="22" t="s">
        <v>18</v>
      </c>
      <c r="E12" s="23" t="s">
        <v>29</v>
      </c>
      <c r="F12" s="24"/>
    </row>
    <row r="13" customFormat="false" ht="18" hidden="false" customHeight="true" outlineLevel="0" collapsed="false">
      <c r="B13" s="15" t="n">
        <v>7</v>
      </c>
      <c r="C13" s="16" t="s">
        <v>30</v>
      </c>
      <c r="D13" s="17" t="s">
        <v>18</v>
      </c>
      <c r="E13" s="18" t="s">
        <v>31</v>
      </c>
      <c r="F13" s="19"/>
    </row>
    <row r="14" customFormat="false" ht="18" hidden="false" customHeight="true" outlineLevel="0" collapsed="false">
      <c r="B14" s="20" t="n">
        <v>8</v>
      </c>
      <c r="C14" s="21" t="s">
        <v>32</v>
      </c>
      <c r="D14" s="22" t="s">
        <v>18</v>
      </c>
      <c r="E14" s="23" t="s">
        <v>33</v>
      </c>
      <c r="F14" s="24"/>
    </row>
    <row r="15" customFormat="false" ht="18" hidden="false" customHeight="true" outlineLevel="0" collapsed="false">
      <c r="B15" s="15" t="n">
        <v>9</v>
      </c>
      <c r="C15" s="16" t="s">
        <v>34</v>
      </c>
      <c r="D15" s="17" t="s">
        <v>18</v>
      </c>
      <c r="E15" s="18" t="s">
        <v>35</v>
      </c>
      <c r="F15" s="19"/>
    </row>
    <row r="16" customFormat="false" ht="18" hidden="false" customHeight="true" outlineLevel="0" collapsed="false">
      <c r="B16" s="20" t="n">
        <v>10</v>
      </c>
      <c r="C16" s="21" t="s">
        <v>36</v>
      </c>
      <c r="D16" s="22" t="s">
        <v>18</v>
      </c>
      <c r="E16" s="23" t="s">
        <v>37</v>
      </c>
      <c r="F16" s="25"/>
    </row>
    <row r="17" customFormat="false" ht="18" hidden="false" customHeight="true" outlineLevel="0" collapsed="false">
      <c r="B17" s="15" t="n">
        <v>11</v>
      </c>
      <c r="C17" s="16" t="s">
        <v>38</v>
      </c>
      <c r="D17" s="26" t="s">
        <v>18</v>
      </c>
      <c r="E17" s="18" t="s">
        <v>39</v>
      </c>
      <c r="F17" s="27"/>
    </row>
    <row r="19" customFormat="false" ht="15" hidden="false" customHeight="false" outlineLevel="0" collapsed="false">
      <c r="B19" s="28" t="str">
        <f aca="false">COUNTIF(D7:D17,"Done")&amp;" / 11 completed"</f>
        <v>0 / 11 completed</v>
      </c>
      <c r="C19" s="28"/>
      <c r="D19" s="29" t="n">
        <f aca="false">IFERROR(COUNTIF(D7:D17,"Done")/11,0)</f>
        <v>0</v>
      </c>
    </row>
  </sheetData>
  <mergeCells count="3">
    <mergeCell ref="B2:F2"/>
    <mergeCell ref="B3:F3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6" min="6" style="1" width="24"/>
  </cols>
  <sheetData>
    <row r="2" customFormat="false" ht="27.75" hidden="false" customHeight="true" outlineLevel="0" collapsed="false">
      <c r="B2" s="30" t="s">
        <v>7</v>
      </c>
      <c r="C2" s="30"/>
      <c r="D2" s="30"/>
      <c r="E2" s="30"/>
      <c r="F2" s="30"/>
    </row>
    <row r="3" customFormat="false" ht="18" hidden="false" customHeight="true" outlineLevel="0" collapsed="false">
      <c r="B3" s="31" t="s">
        <v>40</v>
      </c>
      <c r="C3" s="31"/>
      <c r="D3" s="31"/>
      <c r="E3" s="31"/>
      <c r="F3" s="31"/>
    </row>
    <row r="6" customFormat="false" ht="19.5" hidden="false" customHeight="true" outlineLevel="0" collapsed="false"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</row>
    <row r="7" customFormat="false" ht="18" hidden="false" customHeight="true" outlineLevel="0" collapsed="false">
      <c r="B7" s="15" t="n">
        <v>1</v>
      </c>
      <c r="C7" s="16" t="s">
        <v>41</v>
      </c>
      <c r="D7" s="17" t="s">
        <v>18</v>
      </c>
      <c r="E7" s="18" t="s">
        <v>42</v>
      </c>
      <c r="F7" s="19"/>
    </row>
    <row r="8" customFormat="false" ht="18" hidden="false" customHeight="true" outlineLevel="0" collapsed="false">
      <c r="B8" s="20" t="n">
        <v>2</v>
      </c>
      <c r="C8" s="21" t="s">
        <v>43</v>
      </c>
      <c r="D8" s="22" t="s">
        <v>18</v>
      </c>
      <c r="E8" s="23" t="s">
        <v>44</v>
      </c>
      <c r="F8" s="24"/>
    </row>
    <row r="9" customFormat="false" ht="18" hidden="false" customHeight="true" outlineLevel="0" collapsed="false">
      <c r="B9" s="15" t="n">
        <v>3</v>
      </c>
      <c r="C9" s="16" t="s">
        <v>45</v>
      </c>
      <c r="D9" s="17" t="s">
        <v>18</v>
      </c>
      <c r="E9" s="18" t="s">
        <v>46</v>
      </c>
      <c r="F9" s="19"/>
    </row>
    <row r="10" customFormat="false" ht="18" hidden="false" customHeight="true" outlineLevel="0" collapsed="false">
      <c r="B10" s="20" t="n">
        <v>4</v>
      </c>
      <c r="C10" s="21" t="s">
        <v>47</v>
      </c>
      <c r="D10" s="22" t="s">
        <v>18</v>
      </c>
      <c r="E10" s="23" t="s">
        <v>48</v>
      </c>
      <c r="F10" s="24"/>
    </row>
    <row r="11" customFormat="false" ht="18" hidden="false" customHeight="true" outlineLevel="0" collapsed="false">
      <c r="B11" s="15" t="n">
        <v>5</v>
      </c>
      <c r="C11" s="16" t="s">
        <v>49</v>
      </c>
      <c r="D11" s="17" t="s">
        <v>18</v>
      </c>
      <c r="E11" s="18" t="s">
        <v>50</v>
      </c>
      <c r="F11" s="19"/>
    </row>
    <row r="12" customFormat="false" ht="18" hidden="false" customHeight="true" outlineLevel="0" collapsed="false">
      <c r="B12" s="20" t="n">
        <v>6</v>
      </c>
      <c r="C12" s="21" t="s">
        <v>51</v>
      </c>
      <c r="D12" s="22" t="s">
        <v>18</v>
      </c>
      <c r="E12" s="23" t="s">
        <v>52</v>
      </c>
      <c r="F12" s="24"/>
    </row>
    <row r="13" customFormat="false" ht="18" hidden="false" customHeight="true" outlineLevel="0" collapsed="false">
      <c r="B13" s="15" t="n">
        <v>7</v>
      </c>
      <c r="C13" s="16" t="s">
        <v>53</v>
      </c>
      <c r="D13" s="17" t="s">
        <v>18</v>
      </c>
      <c r="E13" s="18" t="s">
        <v>54</v>
      </c>
      <c r="F13" s="19"/>
    </row>
    <row r="14" customFormat="false" ht="18" hidden="false" customHeight="true" outlineLevel="0" collapsed="false">
      <c r="B14" s="20" t="n">
        <v>8</v>
      </c>
      <c r="C14" s="21" t="s">
        <v>55</v>
      </c>
      <c r="D14" s="22" t="s">
        <v>18</v>
      </c>
      <c r="E14" s="23" t="s">
        <v>56</v>
      </c>
      <c r="F14" s="24"/>
    </row>
    <row r="15" customFormat="false" ht="18" hidden="false" customHeight="true" outlineLevel="0" collapsed="false">
      <c r="B15" s="15" t="n">
        <v>9</v>
      </c>
      <c r="C15" s="16" t="s">
        <v>57</v>
      </c>
      <c r="D15" s="17" t="s">
        <v>18</v>
      </c>
      <c r="E15" s="18" t="s">
        <v>58</v>
      </c>
      <c r="F15" s="19"/>
    </row>
    <row r="16" customFormat="false" ht="18" hidden="false" customHeight="true" outlineLevel="0" collapsed="false">
      <c r="B16" s="20" t="n">
        <v>10</v>
      </c>
      <c r="C16" s="21" t="s">
        <v>59</v>
      </c>
      <c r="D16" s="22" t="s">
        <v>18</v>
      </c>
      <c r="E16" s="23" t="s">
        <v>60</v>
      </c>
      <c r="F16" s="24"/>
    </row>
    <row r="17" customFormat="false" ht="18" hidden="false" customHeight="true" outlineLevel="0" collapsed="false">
      <c r="B17" s="15" t="n">
        <v>11</v>
      </c>
      <c r="C17" s="16" t="s">
        <v>61</v>
      </c>
      <c r="D17" s="17" t="s">
        <v>18</v>
      </c>
      <c r="E17" s="18" t="s">
        <v>62</v>
      </c>
      <c r="F17" s="19"/>
    </row>
    <row r="18" customFormat="false" ht="18" hidden="false" customHeight="true" outlineLevel="0" collapsed="false">
      <c r="B18" s="20" t="n">
        <v>12</v>
      </c>
      <c r="C18" s="21" t="s">
        <v>63</v>
      </c>
      <c r="D18" s="22" t="s">
        <v>18</v>
      </c>
      <c r="E18" s="23" t="s">
        <v>64</v>
      </c>
      <c r="F18" s="24"/>
    </row>
    <row r="19" customFormat="false" ht="18" hidden="false" customHeight="true" outlineLevel="0" collapsed="false">
      <c r="B19" s="15" t="n">
        <v>13</v>
      </c>
      <c r="C19" s="16" t="s">
        <v>65</v>
      </c>
      <c r="D19" s="17" t="s">
        <v>18</v>
      </c>
      <c r="E19" s="18" t="s">
        <v>66</v>
      </c>
      <c r="F19" s="27"/>
    </row>
    <row r="20" customFormat="false" ht="18" hidden="false" customHeight="true" outlineLevel="0" collapsed="false">
      <c r="B20" s="20" t="n">
        <v>14</v>
      </c>
      <c r="C20" s="21" t="s">
        <v>67</v>
      </c>
      <c r="D20" s="32" t="s">
        <v>18</v>
      </c>
      <c r="E20" s="23" t="s">
        <v>68</v>
      </c>
      <c r="F20" s="25"/>
    </row>
    <row r="21" customFormat="false" ht="18" hidden="false" customHeight="true" outlineLevel="0" collapsed="false">
      <c r="B21" s="15" t="n">
        <v>15</v>
      </c>
      <c r="C21" s="16" t="s">
        <v>69</v>
      </c>
      <c r="D21" s="17" t="s">
        <v>18</v>
      </c>
      <c r="E21" s="18" t="s">
        <v>70</v>
      </c>
      <c r="F21" s="27"/>
    </row>
    <row r="22" customFormat="false" ht="18" hidden="false" customHeight="true" outlineLevel="0" collapsed="false">
      <c r="B22" s="20" t="n">
        <v>16</v>
      </c>
      <c r="C22" s="21" t="s">
        <v>71</v>
      </c>
      <c r="D22" s="22" t="s">
        <v>18</v>
      </c>
      <c r="E22" s="23" t="s">
        <v>72</v>
      </c>
      <c r="F22" s="25"/>
    </row>
    <row r="23" customFormat="false" ht="18" hidden="false" customHeight="true" outlineLevel="0" collapsed="false">
      <c r="B23" s="15" t="n">
        <v>17</v>
      </c>
      <c r="C23" s="16" t="s">
        <v>73</v>
      </c>
      <c r="D23" s="17" t="s">
        <v>18</v>
      </c>
      <c r="E23" s="18" t="s">
        <v>74</v>
      </c>
      <c r="F23" s="27"/>
    </row>
    <row r="24" customFormat="false" ht="18" hidden="false" customHeight="true" outlineLevel="0" collapsed="false">
      <c r="B24" s="20" t="n">
        <v>18</v>
      </c>
      <c r="C24" s="21" t="s">
        <v>75</v>
      </c>
      <c r="D24" s="22" t="s">
        <v>18</v>
      </c>
      <c r="E24" s="23" t="s">
        <v>76</v>
      </c>
      <c r="F24" s="25"/>
    </row>
    <row r="26" customFormat="false" ht="15" hidden="false" customHeight="false" outlineLevel="0" collapsed="false">
      <c r="B26" s="28" t="str">
        <f aca="false">COUNTIF(D7:D24,"Done")&amp;" / 18 completed"</f>
        <v>0 / 18 completed</v>
      </c>
      <c r="C26" s="28"/>
      <c r="D26" s="29" t="n">
        <f aca="false">IFERROR(COUNTIF(D7:D24,"Done")/18,0)</f>
        <v>0</v>
      </c>
    </row>
  </sheetData>
  <mergeCells count="3">
    <mergeCell ref="B2:F2"/>
    <mergeCell ref="B3:F3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6" min="6" style="1" width="24"/>
  </cols>
  <sheetData>
    <row r="2" customFormat="false" ht="27.75" hidden="false" customHeight="true" outlineLevel="0" collapsed="false">
      <c r="B2" s="33" t="s">
        <v>8</v>
      </c>
      <c r="C2" s="33"/>
      <c r="D2" s="33"/>
      <c r="E2" s="33"/>
      <c r="F2" s="33"/>
    </row>
    <row r="3" customFormat="false" ht="18" hidden="false" customHeight="true" outlineLevel="0" collapsed="false">
      <c r="B3" s="34" t="s">
        <v>40</v>
      </c>
      <c r="C3" s="34"/>
      <c r="D3" s="34"/>
      <c r="E3" s="34"/>
      <c r="F3" s="34"/>
    </row>
    <row r="6" customFormat="false" ht="19.5" hidden="false" customHeight="true" outlineLevel="0" collapsed="false"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</row>
    <row r="7" customFormat="false" ht="18" hidden="false" customHeight="true" outlineLevel="0" collapsed="false">
      <c r="B7" s="15" t="n">
        <v>1</v>
      </c>
      <c r="C7" s="16" t="s">
        <v>77</v>
      </c>
      <c r="D7" s="17" t="s">
        <v>18</v>
      </c>
      <c r="E7" s="18" t="s">
        <v>78</v>
      </c>
      <c r="F7" s="19"/>
    </row>
    <row r="8" customFormat="false" ht="18" hidden="false" customHeight="true" outlineLevel="0" collapsed="false">
      <c r="B8" s="20" t="n">
        <v>2</v>
      </c>
      <c r="C8" s="21" t="s">
        <v>79</v>
      </c>
      <c r="D8" s="22" t="s">
        <v>18</v>
      </c>
      <c r="E8" s="23" t="s">
        <v>80</v>
      </c>
      <c r="F8" s="24"/>
    </row>
    <row r="9" customFormat="false" ht="18" hidden="false" customHeight="true" outlineLevel="0" collapsed="false">
      <c r="B9" s="15" t="n">
        <v>3</v>
      </c>
      <c r="C9" s="16" t="s">
        <v>81</v>
      </c>
      <c r="D9" s="17" t="s">
        <v>18</v>
      </c>
      <c r="E9" s="18" t="s">
        <v>82</v>
      </c>
      <c r="F9" s="19"/>
    </row>
    <row r="10" customFormat="false" ht="18" hidden="false" customHeight="true" outlineLevel="0" collapsed="false">
      <c r="B10" s="20" t="n">
        <v>4</v>
      </c>
      <c r="C10" s="21" t="s">
        <v>83</v>
      </c>
      <c r="D10" s="22" t="s">
        <v>18</v>
      </c>
      <c r="E10" s="23" t="s">
        <v>84</v>
      </c>
      <c r="F10" s="24"/>
    </row>
    <row r="11" customFormat="false" ht="18" hidden="false" customHeight="true" outlineLevel="0" collapsed="false">
      <c r="B11" s="15" t="n">
        <v>5</v>
      </c>
      <c r="C11" s="16" t="s">
        <v>85</v>
      </c>
      <c r="D11" s="17" t="s">
        <v>18</v>
      </c>
      <c r="E11" s="18" t="s">
        <v>86</v>
      </c>
      <c r="F11" s="19"/>
    </row>
    <row r="12" customFormat="false" ht="18" hidden="false" customHeight="true" outlineLevel="0" collapsed="false">
      <c r="B12" s="20" t="n">
        <v>6</v>
      </c>
      <c r="C12" s="21" t="s">
        <v>87</v>
      </c>
      <c r="D12" s="22" t="s">
        <v>18</v>
      </c>
      <c r="E12" s="23" t="s">
        <v>88</v>
      </c>
      <c r="F12" s="24"/>
    </row>
    <row r="13" customFormat="false" ht="18" hidden="false" customHeight="true" outlineLevel="0" collapsed="false">
      <c r="B13" s="15" t="n">
        <v>7</v>
      </c>
      <c r="C13" s="16" t="s">
        <v>89</v>
      </c>
      <c r="D13" s="17" t="s">
        <v>18</v>
      </c>
      <c r="E13" s="18" t="s">
        <v>90</v>
      </c>
      <c r="F13" s="19"/>
    </row>
    <row r="14" customFormat="false" ht="18" hidden="false" customHeight="true" outlineLevel="0" collapsed="false">
      <c r="B14" s="20" t="n">
        <v>8</v>
      </c>
      <c r="C14" s="21" t="s">
        <v>91</v>
      </c>
      <c r="D14" s="22" t="s">
        <v>18</v>
      </c>
      <c r="E14" s="23" t="s">
        <v>92</v>
      </c>
      <c r="F14" s="24"/>
    </row>
    <row r="15" customFormat="false" ht="18" hidden="false" customHeight="true" outlineLevel="0" collapsed="false">
      <c r="B15" s="15" t="n">
        <v>9</v>
      </c>
      <c r="C15" s="16" t="s">
        <v>93</v>
      </c>
      <c r="D15" s="17" t="s">
        <v>18</v>
      </c>
      <c r="E15" s="18" t="s">
        <v>94</v>
      </c>
      <c r="F15" s="19"/>
    </row>
    <row r="16" customFormat="false" ht="18" hidden="false" customHeight="true" outlineLevel="0" collapsed="false">
      <c r="B16" s="20" t="n">
        <v>10</v>
      </c>
      <c r="C16" s="21" t="s">
        <v>95</v>
      </c>
      <c r="D16" s="22" t="s">
        <v>18</v>
      </c>
      <c r="E16" s="23" t="s">
        <v>96</v>
      </c>
      <c r="F16" s="24"/>
    </row>
    <row r="17" customFormat="false" ht="18" hidden="false" customHeight="true" outlineLevel="0" collapsed="false">
      <c r="B17" s="15" t="n">
        <v>11</v>
      </c>
      <c r="C17" s="16" t="s">
        <v>97</v>
      </c>
      <c r="D17" s="17" t="s">
        <v>18</v>
      </c>
      <c r="E17" s="18" t="s">
        <v>98</v>
      </c>
      <c r="F17" s="19"/>
    </row>
    <row r="18" customFormat="false" ht="18" hidden="false" customHeight="true" outlineLevel="0" collapsed="false">
      <c r="B18" s="20" t="n">
        <v>12</v>
      </c>
      <c r="C18" s="21" t="s">
        <v>99</v>
      </c>
      <c r="D18" s="22" t="s">
        <v>18</v>
      </c>
      <c r="E18" s="23" t="s">
        <v>100</v>
      </c>
      <c r="F18" s="25"/>
    </row>
    <row r="19" customFormat="false" ht="18" hidden="false" customHeight="true" outlineLevel="0" collapsed="false">
      <c r="B19" s="15" t="n">
        <v>13</v>
      </c>
      <c r="C19" s="16" t="s">
        <v>101</v>
      </c>
      <c r="D19" s="26" t="s">
        <v>18</v>
      </c>
      <c r="E19" s="18" t="s">
        <v>102</v>
      </c>
      <c r="F19" s="27"/>
    </row>
    <row r="20" customFormat="false" ht="18" hidden="false" customHeight="true" outlineLevel="0" collapsed="false">
      <c r="B20" s="20" t="n">
        <v>14</v>
      </c>
      <c r="C20" s="21" t="s">
        <v>103</v>
      </c>
      <c r="D20" s="22" t="s">
        <v>18</v>
      </c>
      <c r="E20" s="23" t="s">
        <v>104</v>
      </c>
      <c r="F20" s="25"/>
    </row>
    <row r="21" customFormat="false" ht="18" hidden="false" customHeight="true" outlineLevel="0" collapsed="false">
      <c r="B21" s="15" t="n">
        <v>15</v>
      </c>
      <c r="C21" s="16" t="s">
        <v>105</v>
      </c>
      <c r="D21" s="17" t="s">
        <v>18</v>
      </c>
      <c r="E21" s="18" t="s">
        <v>106</v>
      </c>
      <c r="F21" s="27"/>
    </row>
    <row r="23" customFormat="false" ht="15" hidden="false" customHeight="false" outlineLevel="0" collapsed="false">
      <c r="B23" s="28" t="str">
        <f aca="false">COUNTIF(D7:D21,"Done")&amp;" / 15 completed"</f>
        <v>0 / 15 completed</v>
      </c>
      <c r="C23" s="28"/>
      <c r="D23" s="29" t="n">
        <f aca="false">IFERROR(COUNTIF(D7:D21,"Done")/15,0)</f>
        <v>0</v>
      </c>
    </row>
  </sheetData>
  <mergeCells count="3">
    <mergeCell ref="B2:F2"/>
    <mergeCell ref="B3:F3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6" min="6" style="1" width="24"/>
  </cols>
  <sheetData>
    <row r="2" customFormat="false" ht="27.75" hidden="false" customHeight="true" outlineLevel="0" collapsed="false">
      <c r="B2" s="35" t="s">
        <v>9</v>
      </c>
      <c r="C2" s="35"/>
      <c r="D2" s="35"/>
      <c r="E2" s="35"/>
      <c r="F2" s="35"/>
    </row>
    <row r="3" customFormat="false" ht="18" hidden="false" customHeight="true" outlineLevel="0" collapsed="false">
      <c r="B3" s="36" t="s">
        <v>107</v>
      </c>
      <c r="C3" s="36"/>
      <c r="D3" s="36"/>
      <c r="E3" s="36"/>
      <c r="F3" s="36"/>
    </row>
    <row r="6" customFormat="false" ht="19.5" hidden="false" customHeight="true" outlineLevel="0" collapsed="false"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</row>
    <row r="7" customFormat="false" ht="18" hidden="false" customHeight="true" outlineLevel="0" collapsed="false">
      <c r="B7" s="15" t="n">
        <v>1</v>
      </c>
      <c r="C7" s="16" t="s">
        <v>108</v>
      </c>
      <c r="D7" s="17" t="s">
        <v>18</v>
      </c>
      <c r="E7" s="18" t="s">
        <v>109</v>
      </c>
      <c r="F7" s="19"/>
    </row>
    <row r="8" customFormat="false" ht="18" hidden="false" customHeight="true" outlineLevel="0" collapsed="false">
      <c r="B8" s="20" t="n">
        <v>2</v>
      </c>
      <c r="C8" s="21" t="s">
        <v>110</v>
      </c>
      <c r="D8" s="22" t="s">
        <v>18</v>
      </c>
      <c r="E8" s="23" t="s">
        <v>111</v>
      </c>
      <c r="F8" s="24"/>
    </row>
    <row r="9" customFormat="false" ht="18" hidden="false" customHeight="true" outlineLevel="0" collapsed="false">
      <c r="B9" s="15" t="n">
        <v>3</v>
      </c>
      <c r="C9" s="16" t="s">
        <v>112</v>
      </c>
      <c r="D9" s="17" t="s">
        <v>18</v>
      </c>
      <c r="E9" s="18" t="s">
        <v>113</v>
      </c>
      <c r="F9" s="19"/>
    </row>
    <row r="10" customFormat="false" ht="18" hidden="false" customHeight="true" outlineLevel="0" collapsed="false">
      <c r="B10" s="20" t="n">
        <v>4</v>
      </c>
      <c r="C10" s="21" t="s">
        <v>114</v>
      </c>
      <c r="D10" s="22" t="s">
        <v>18</v>
      </c>
      <c r="E10" s="23" t="s">
        <v>115</v>
      </c>
      <c r="F10" s="24"/>
    </row>
    <row r="11" customFormat="false" ht="18" hidden="false" customHeight="true" outlineLevel="0" collapsed="false">
      <c r="B11" s="15" t="n">
        <v>5</v>
      </c>
      <c r="C11" s="16" t="s">
        <v>116</v>
      </c>
      <c r="D11" s="17" t="s">
        <v>18</v>
      </c>
      <c r="E11" s="18" t="s">
        <v>117</v>
      </c>
      <c r="F11" s="19"/>
    </row>
    <row r="12" customFormat="false" ht="18" hidden="false" customHeight="true" outlineLevel="0" collapsed="false">
      <c r="B12" s="20" t="n">
        <v>6</v>
      </c>
      <c r="C12" s="21" t="s">
        <v>118</v>
      </c>
      <c r="D12" s="22" t="s">
        <v>18</v>
      </c>
      <c r="E12" s="23" t="s">
        <v>119</v>
      </c>
      <c r="F12" s="24"/>
    </row>
    <row r="13" customFormat="false" ht="18" hidden="false" customHeight="true" outlineLevel="0" collapsed="false">
      <c r="B13" s="15" t="n">
        <v>7</v>
      </c>
      <c r="C13" s="16" t="s">
        <v>120</v>
      </c>
      <c r="D13" s="17" t="s">
        <v>18</v>
      </c>
      <c r="E13" s="18" t="s">
        <v>121</v>
      </c>
      <c r="F13" s="19"/>
    </row>
    <row r="14" customFormat="false" ht="18" hidden="false" customHeight="true" outlineLevel="0" collapsed="false">
      <c r="B14" s="20" t="n">
        <v>8</v>
      </c>
      <c r="C14" s="21" t="s">
        <v>122</v>
      </c>
      <c r="D14" s="22" t="s">
        <v>18</v>
      </c>
      <c r="E14" s="23" t="s">
        <v>123</v>
      </c>
      <c r="F14" s="24"/>
    </row>
    <row r="15" customFormat="false" ht="18" hidden="false" customHeight="true" outlineLevel="0" collapsed="false">
      <c r="B15" s="15" t="n">
        <v>9</v>
      </c>
      <c r="C15" s="16" t="s">
        <v>124</v>
      </c>
      <c r="D15" s="17" t="s">
        <v>18</v>
      </c>
      <c r="E15" s="18" t="s">
        <v>125</v>
      </c>
      <c r="F15" s="19"/>
    </row>
    <row r="16" customFormat="false" ht="18" hidden="false" customHeight="true" outlineLevel="0" collapsed="false">
      <c r="B16" s="20" t="n">
        <v>10</v>
      </c>
      <c r="C16" s="21" t="s">
        <v>126</v>
      </c>
      <c r="D16" s="22" t="s">
        <v>18</v>
      </c>
      <c r="E16" s="23" t="s">
        <v>127</v>
      </c>
      <c r="F16" s="24"/>
    </row>
    <row r="17" customFormat="false" ht="18" hidden="false" customHeight="true" outlineLevel="0" collapsed="false">
      <c r="B17" s="15" t="n">
        <v>11</v>
      </c>
      <c r="C17" s="16" t="s">
        <v>128</v>
      </c>
      <c r="D17" s="17" t="s">
        <v>18</v>
      </c>
      <c r="E17" s="18" t="s">
        <v>129</v>
      </c>
      <c r="F17" s="19"/>
    </row>
    <row r="18" customFormat="false" ht="18" hidden="false" customHeight="true" outlineLevel="0" collapsed="false">
      <c r="B18" s="20" t="n">
        <v>12</v>
      </c>
      <c r="C18" s="21" t="s">
        <v>130</v>
      </c>
      <c r="D18" s="22" t="s">
        <v>18</v>
      </c>
      <c r="E18" s="23" t="s">
        <v>131</v>
      </c>
      <c r="F18" s="24"/>
    </row>
    <row r="19" customFormat="false" ht="18" hidden="false" customHeight="true" outlineLevel="0" collapsed="false">
      <c r="B19" s="15" t="n">
        <v>13</v>
      </c>
      <c r="C19" s="16" t="s">
        <v>132</v>
      </c>
      <c r="D19" s="17" t="s">
        <v>18</v>
      </c>
      <c r="E19" s="18" t="s">
        <v>133</v>
      </c>
      <c r="F19" s="19"/>
    </row>
    <row r="20" customFormat="false" ht="18" hidden="false" customHeight="true" outlineLevel="0" collapsed="false">
      <c r="B20" s="20" t="n">
        <v>14</v>
      </c>
      <c r="C20" s="21" t="s">
        <v>134</v>
      </c>
      <c r="D20" s="22" t="s">
        <v>18</v>
      </c>
      <c r="E20" s="23" t="s">
        <v>135</v>
      </c>
      <c r="F20" s="24"/>
    </row>
    <row r="21" customFormat="false" ht="18" hidden="false" customHeight="true" outlineLevel="0" collapsed="false">
      <c r="B21" s="15" t="n">
        <v>15</v>
      </c>
      <c r="C21" s="16" t="s">
        <v>136</v>
      </c>
      <c r="D21" s="17" t="s">
        <v>18</v>
      </c>
      <c r="E21" s="18" t="s">
        <v>137</v>
      </c>
      <c r="F21" s="19"/>
    </row>
    <row r="22" customFormat="false" ht="18" hidden="false" customHeight="true" outlineLevel="0" collapsed="false">
      <c r="B22" s="20" t="n">
        <v>16</v>
      </c>
      <c r="C22" s="21" t="s">
        <v>138</v>
      </c>
      <c r="D22" s="22" t="s">
        <v>18</v>
      </c>
      <c r="E22" s="23" t="s">
        <v>139</v>
      </c>
      <c r="F22" s="25"/>
    </row>
    <row r="23" customFormat="false" ht="18" hidden="false" customHeight="true" outlineLevel="0" collapsed="false">
      <c r="B23" s="15" t="n">
        <v>17</v>
      </c>
      <c r="C23" s="16" t="s">
        <v>140</v>
      </c>
      <c r="D23" s="26" t="s">
        <v>18</v>
      </c>
      <c r="E23" s="18" t="s">
        <v>141</v>
      </c>
      <c r="F23" s="27"/>
    </row>
    <row r="24" customFormat="false" ht="18" hidden="false" customHeight="true" outlineLevel="0" collapsed="false">
      <c r="B24" s="20" t="n">
        <v>18</v>
      </c>
      <c r="C24" s="21" t="s">
        <v>142</v>
      </c>
      <c r="D24" s="22" t="s">
        <v>18</v>
      </c>
      <c r="E24" s="23" t="s">
        <v>143</v>
      </c>
      <c r="F24" s="25"/>
    </row>
    <row r="25" customFormat="false" ht="18" hidden="false" customHeight="true" outlineLevel="0" collapsed="false">
      <c r="B25" s="15" t="n">
        <v>19</v>
      </c>
      <c r="C25" s="16" t="s">
        <v>144</v>
      </c>
      <c r="D25" s="17" t="s">
        <v>18</v>
      </c>
      <c r="E25" s="18" t="s">
        <v>145</v>
      </c>
      <c r="F25" s="27"/>
    </row>
    <row r="26" customFormat="false" ht="18" hidden="false" customHeight="true" outlineLevel="0" collapsed="false">
      <c r="B26" s="20" t="n">
        <v>20</v>
      </c>
      <c r="C26" s="21" t="s">
        <v>146</v>
      </c>
      <c r="D26" s="22" t="s">
        <v>18</v>
      </c>
      <c r="E26" s="23" t="s">
        <v>147</v>
      </c>
      <c r="F26" s="25"/>
    </row>
    <row r="27" customFormat="false" ht="18" hidden="false" customHeight="true" outlineLevel="0" collapsed="false">
      <c r="B27" s="15" t="n">
        <v>21</v>
      </c>
      <c r="C27" s="16" t="s">
        <v>148</v>
      </c>
      <c r="D27" s="17" t="s">
        <v>18</v>
      </c>
      <c r="E27" s="18" t="s">
        <v>149</v>
      </c>
      <c r="F27" s="27"/>
    </row>
    <row r="29" customFormat="false" ht="15" hidden="false" customHeight="false" outlineLevel="0" collapsed="false">
      <c r="B29" s="28" t="str">
        <f aca="false">COUNTIF(D7:D27,"Done")&amp;" / 21 completed"</f>
        <v>0 / 21 completed</v>
      </c>
      <c r="C29" s="28"/>
      <c r="D29" s="29" t="n">
        <f aca="false">IFERROR(COUNTIF(D7:D27,"Done")/21,0)</f>
        <v>0</v>
      </c>
    </row>
  </sheetData>
  <mergeCells count="3">
    <mergeCell ref="B2:F2"/>
    <mergeCell ref="B3:F3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2026-06-16T03:34:11Z</dcterms:created>
  <dc:creator>openpyxl</dc:creator>
  <dc:description/>
  <dc:language>en-US</dc:language>
  <cp:lastModifiedBy/>
  <dcterms:modified xsi:type="dcterms:W3CDTF">2026-06-16T03:39:05Z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