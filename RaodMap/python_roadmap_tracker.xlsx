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hase 1" sheetId="2" state="visible" r:id="rId2"/>
    <sheet xmlns:r="http://schemas.openxmlformats.org/officeDocument/2006/relationships" name="Phase 2" sheetId="3" state="visible" r:id="rId3"/>
    <sheet xmlns:r="http://schemas.openxmlformats.org/officeDocument/2006/relationships" name="Phase 3" sheetId="4" state="visible" r:id="rId4"/>
    <sheet xmlns:r="http://schemas.openxmlformats.org/officeDocument/2006/relationships" name="Phase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A252F"/>
      <sz val="18"/>
    </font>
    <font>
      <name val="Arial"/>
      <color rgb="007F8C8D"/>
      <sz val="10"/>
    </font>
    <font>
      <name val="Arial"/>
      <b val="1"/>
      <color rgb="00FFFFFF"/>
      <sz val="10"/>
    </font>
    <font>
      <name val="Arial"/>
      <b val="1"/>
      <color rgb="001A252F"/>
      <sz val="10"/>
    </font>
    <font>
      <name val="Arial"/>
      <color rgb="001A252F"/>
      <sz val="10"/>
    </font>
    <font>
      <name val="Arial"/>
      <sz val="10"/>
    </font>
    <font>
      <name val="Arial"/>
      <b val="1"/>
      <color rgb="00FFFFFF"/>
      <sz val="15"/>
    </font>
    <font>
      <name val="Arial"/>
      <color rgb="00FFFFFF"/>
      <sz val="10"/>
    </font>
    <font>
      <name val="Arial"/>
      <color rgb="0095A5A6"/>
      <sz val="10"/>
    </font>
    <font>
      <name val="Arial"/>
      <color rgb="005D6D7E"/>
      <sz val="10"/>
    </font>
    <font>
      <name val="Arial"/>
      <b val="1"/>
      <color rgb="00C0392B"/>
      <sz val="10"/>
    </font>
    <font>
      <name val="Arial"/>
      <b val="1"/>
      <color rgb="001A5276"/>
      <sz val="10"/>
    </font>
    <font>
      <name val="Arial"/>
      <b val="1"/>
      <color rgb="001E8449"/>
      <sz val="10"/>
    </font>
    <font>
      <name val="Arial"/>
      <b val="1"/>
      <color rgb="006C3483"/>
      <sz val="10"/>
    </font>
  </fonts>
  <fills count="13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FFB3B380"/>
      </patternFill>
    </fill>
    <fill>
      <patternFill patternType="solid">
        <fgColor rgb="00FDFEFE"/>
      </patternFill>
    </fill>
    <fill>
      <patternFill patternType="solid">
        <fgColor rgb="B3D1FF80"/>
      </patternFill>
    </fill>
    <fill>
      <patternFill patternType="solid">
        <fgColor rgb="C8E6C980"/>
      </patternFill>
    </fill>
    <fill>
      <patternFill patternType="solid">
        <fgColor rgb="E8D5F580"/>
      </patternFill>
    </fill>
    <fill>
      <patternFill patternType="solid">
        <fgColor rgb="00C0392B"/>
      </patternFill>
    </fill>
    <fill>
      <patternFill patternType="solid">
        <fgColor rgb="00F4F6F7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6C3483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9" fontId="3" fillId="2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9" fontId="11" fillId="0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8" fillId="1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9" fontId="12" fillId="0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9" fontId="13" fillId="0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D5F5E3"/>
        </patternFill>
      </fill>
    </dxf>
    <dxf>
      <fill>
        <patternFill patternType="solid">
          <f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</cols>
  <sheetData>
    <row r="1" ht="10" customHeight="1"/>
    <row r="2" ht="40" customHeight="1">
      <c r="B2" s="1" t="inlineStr">
        <is>
          <t>🐍  Python Learning Roadmap</t>
        </is>
      </c>
    </row>
    <row r="3" ht="6" customHeight="1"/>
    <row r="4" ht="22" customHeight="1">
      <c r="B4" s="2" t="inlineStr">
        <is>
          <t>Track your progress — mark topics ✓ in each phase sheet</t>
        </is>
      </c>
    </row>
    <row r="5" ht="14" customHeight="1"/>
    <row r="6" ht="26" customHeight="1">
      <c r="B6" s="3" t="inlineStr">
        <is>
          <t>Phase</t>
        </is>
      </c>
      <c r="C6" s="4" t="inlineStr">
        <is>
          <t>Topics</t>
        </is>
      </c>
      <c r="D6" s="4" t="inlineStr">
        <is>
          <t>Completed</t>
        </is>
      </c>
      <c r="E6" s="4" t="inlineStr">
        <is>
          <t>Progress</t>
        </is>
      </c>
    </row>
    <row r="7" ht="30" customHeight="1">
      <c r="B7" s="5" t="inlineStr">
        <is>
          <t>Phase 1 — Basics Recap</t>
        </is>
      </c>
      <c r="C7" s="6" t="n">
        <v>7</v>
      </c>
      <c r="D7" s="7">
        <f>COUNTIF('Phase 1'!D7:D13,"Done")</f>
        <v/>
      </c>
      <c r="E7" s="8">
        <f>IFERROR(D7/C7,0)</f>
        <v/>
      </c>
    </row>
    <row r="8" ht="30" customHeight="1">
      <c r="B8" s="9" t="inlineStr">
        <is>
          <t>Phase 2 — Solid Foundations</t>
        </is>
      </c>
      <c r="C8" s="6" t="n">
        <v>14</v>
      </c>
      <c r="D8" s="7">
        <f>COUNTIF('Phase 2'!D7:D20,"Done")</f>
        <v/>
      </c>
      <c r="E8" s="8">
        <f>IFERROR(D8/C8,0)</f>
        <v/>
      </c>
    </row>
    <row r="9" ht="30" customHeight="1">
      <c r="B9" s="10" t="inlineStr">
        <is>
          <t>Phase 3 — Intermediate Python</t>
        </is>
      </c>
      <c r="C9" s="6" t="n">
        <v>13</v>
      </c>
      <c r="D9" s="7">
        <f>COUNTIF('Phase 3'!D7:D19,"Done")</f>
        <v/>
      </c>
      <c r="E9" s="8">
        <f>IFERROR(D9/C9,0)</f>
        <v/>
      </c>
    </row>
    <row r="10" ht="30" customHeight="1">
      <c r="B10" s="11" t="inlineStr">
        <is>
          <t>Phase 4 — Advanced Python</t>
        </is>
      </c>
      <c r="C10" s="6" t="n">
        <v>20</v>
      </c>
      <c r="D10" s="7">
        <f>COUNTIF('Phase 4'!D7:D26,"Done")</f>
        <v/>
      </c>
      <c r="E10" s="8">
        <f>IFERROR(D10/C10,0)</f>
        <v/>
      </c>
    </row>
    <row r="11" ht="26" customHeight="1">
      <c r="B11" s="3" t="inlineStr">
        <is>
          <t>TOTAL</t>
        </is>
      </c>
      <c r="C11" s="12">
        <f>SUM(C7:C10)</f>
        <v/>
      </c>
      <c r="D11" s="12">
        <f>SUM(D7:D10)</f>
        <v/>
      </c>
      <c r="E11" s="13">
        <f>IFERROR(D11/C11,0)</f>
        <v/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4" customWidth="1" min="3" max="3"/>
    <col width="14" customWidth="1" min="4" max="4"/>
    <col width="38" customWidth="1" min="5" max="5"/>
    <col width="22" customWidth="1" min="6" max="6"/>
  </cols>
  <sheetData>
    <row r="1" ht="10" customHeight="1"/>
    <row r="2" ht="36" customHeight="1">
      <c r="B2" s="14" t="inlineStr">
        <is>
          <t>Phase 1 — Basics Recap</t>
        </is>
      </c>
    </row>
    <row r="3" ht="20" customHeight="1">
      <c r="B3" s="15" t="inlineStr">
        <is>
          <t>Duration: 1–2 weeks</t>
        </is>
      </c>
    </row>
    <row r="4" ht="8" customHeight="1"/>
    <row r="5" ht="8" customHeight="1"/>
    <row r="6" ht="24" customHeight="1">
      <c r="B6" s="4" t="inlineStr">
        <is>
          <t>#</t>
        </is>
      </c>
      <c r="C6" s="3" t="inlineStr">
        <is>
          <t>Topic</t>
        </is>
      </c>
      <c r="D6" s="3" t="inlineStr">
        <is>
          <t>Status</t>
        </is>
      </c>
      <c r="E6" s="3" t="inlineStr">
        <is>
          <t>Description</t>
        </is>
      </c>
      <c r="F6" s="3" t="inlineStr">
        <is>
          <t>My Notes</t>
        </is>
      </c>
    </row>
    <row r="7" ht="22" customHeight="1">
      <c r="B7" s="16" t="n">
        <v>1</v>
      </c>
      <c r="C7" s="17" t="inlineStr">
        <is>
          <t>Variables &amp; types</t>
        </is>
      </c>
      <c r="D7" s="18" t="inlineStr">
        <is>
          <t>To Do</t>
        </is>
      </c>
      <c r="E7" s="19" t="inlineStr">
        <is>
          <t>int, str, float, bool, None</t>
        </is>
      </c>
      <c r="F7" s="20" t="inlineStr"/>
    </row>
    <row r="8" ht="22" customHeight="1">
      <c r="B8" s="21" t="n">
        <v>2</v>
      </c>
      <c r="C8" s="22" t="inlineStr">
        <is>
          <t>Conditionals</t>
        </is>
      </c>
      <c r="D8" s="23" t="inlineStr">
        <is>
          <t>To Do</t>
        </is>
      </c>
      <c r="E8" s="24" t="inlineStr">
        <is>
          <t>if / elif / else logic</t>
        </is>
      </c>
      <c r="F8" s="25" t="inlineStr"/>
    </row>
    <row r="9" ht="22" customHeight="1">
      <c r="B9" s="16" t="n">
        <v>3</v>
      </c>
      <c r="C9" s="17" t="inlineStr">
        <is>
          <t>Loops</t>
        </is>
      </c>
      <c r="D9" s="18" t="inlineStr">
        <is>
          <t>To Do</t>
        </is>
      </c>
      <c r="E9" s="19" t="inlineStr">
        <is>
          <t>for, while, break, continue</t>
        </is>
      </c>
      <c r="F9" s="20" t="inlineStr"/>
    </row>
    <row r="10" ht="22" customHeight="1">
      <c r="B10" s="21" t="n">
        <v>4</v>
      </c>
      <c r="C10" s="22" t="inlineStr">
        <is>
          <t>Functions</t>
        </is>
      </c>
      <c r="D10" s="23" t="inlineStr">
        <is>
          <t>To Do</t>
        </is>
      </c>
      <c r="E10" s="24" t="inlineStr">
        <is>
          <t>def, args, return values</t>
        </is>
      </c>
      <c r="F10" s="25" t="inlineStr"/>
    </row>
    <row r="11" ht="22" customHeight="1">
      <c r="B11" s="16" t="n">
        <v>5</v>
      </c>
      <c r="C11" s="17" t="inlineStr">
        <is>
          <t>Lists</t>
        </is>
      </c>
      <c r="D11" s="18" t="inlineStr">
        <is>
          <t>To Do</t>
        </is>
      </c>
      <c r="E11" s="19" t="inlineStr">
        <is>
          <t>Indexing, slicing, append, remove</t>
        </is>
      </c>
      <c r="F11" s="20" t="inlineStr"/>
    </row>
    <row r="12" ht="22" customHeight="1">
      <c r="B12" s="21" t="n">
        <v>6</v>
      </c>
      <c r="C12" s="22" t="inlineStr">
        <is>
          <t>Dictionaries</t>
        </is>
      </c>
      <c r="D12" s="23" t="inlineStr">
        <is>
          <t>To Do</t>
        </is>
      </c>
      <c r="E12" s="24" t="inlineStr">
        <is>
          <t>Keys, values, iteration</t>
        </is>
      </c>
      <c r="F12" s="25" t="inlineStr"/>
    </row>
    <row r="13" ht="22" customHeight="1">
      <c r="B13" s="16" t="n">
        <v>7</v>
      </c>
      <c r="C13" s="17" t="inlineStr">
        <is>
          <t>Tuples &amp; sets</t>
        </is>
      </c>
      <c r="D13" s="18" t="inlineStr">
        <is>
          <t>To Do</t>
        </is>
      </c>
      <c r="E13" s="19" t="inlineStr">
        <is>
          <t>Basics of immutable &amp; unique collections</t>
        </is>
      </c>
      <c r="F13" s="20" t="inlineStr"/>
    </row>
    <row r="15">
      <c r="B15" s="26">
        <f>COUNTIF(D7:D13,"Done")&amp;" / 7 completed"</f>
        <v/>
      </c>
      <c r="D15" s="27">
        <f>IFERROR(COUNTIF(D7:D13,"Done")/7,0)</f>
        <v/>
      </c>
    </row>
  </sheetData>
  <mergeCells count="3">
    <mergeCell ref="B2:F2"/>
    <mergeCell ref="B3:F3"/>
    <mergeCell ref="B15:C15"/>
  </mergeCells>
  <conditionalFormatting sqref="B7:F13">
    <cfRule type="expression" priority="1" dxfId="0">
      <formula>$D7="Done"</formula>
    </cfRule>
    <cfRule type="expression" priority="2" dxfId="1">
      <formula>$D7="In Progress"</formula>
    </cfRule>
  </conditionalFormatting>
  <dataValidations count="1">
    <dataValidation sqref="D7 D8 D9 D10 D11 D12 D13" showDropDown="0" showInputMessage="0" showErrorMessage="0" allowBlank="1" type="list">
      <formula1>"Done,In Progress,To 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4" customWidth="1" min="3" max="3"/>
    <col width="14" customWidth="1" min="4" max="4"/>
    <col width="38" customWidth="1" min="5" max="5"/>
    <col width="22" customWidth="1" min="6" max="6"/>
  </cols>
  <sheetData>
    <row r="1" ht="10" customHeight="1"/>
    <row r="2" ht="36" customHeight="1">
      <c r="B2" s="28" t="inlineStr">
        <is>
          <t>Phase 2 — Solid Foundations</t>
        </is>
      </c>
    </row>
    <row r="3" ht="20" customHeight="1">
      <c r="B3" s="29" t="inlineStr">
        <is>
          <t>Duration: 3–5 weeks</t>
        </is>
      </c>
    </row>
    <row r="4" ht="8" customHeight="1"/>
    <row r="5" ht="8" customHeight="1"/>
    <row r="6" ht="24" customHeight="1">
      <c r="B6" s="4" t="inlineStr">
        <is>
          <t>#</t>
        </is>
      </c>
      <c r="C6" s="3" t="inlineStr">
        <is>
          <t>Topic</t>
        </is>
      </c>
      <c r="D6" s="3" t="inlineStr">
        <is>
          <t>Status</t>
        </is>
      </c>
      <c r="E6" s="3" t="inlineStr">
        <is>
          <t>Description</t>
        </is>
      </c>
      <c r="F6" s="3" t="inlineStr">
        <is>
          <t>My Notes</t>
        </is>
      </c>
    </row>
    <row r="7" ht="22" customHeight="1">
      <c r="B7" s="16" t="n">
        <v>1</v>
      </c>
      <c r="C7" s="17" t="inlineStr">
        <is>
          <t>List comprehensions</t>
        </is>
      </c>
      <c r="D7" s="18" t="inlineStr">
        <is>
          <t>To Do</t>
        </is>
      </c>
      <c r="E7" s="19" t="inlineStr">
        <is>
          <t>[x for x in ... if ...]</t>
        </is>
      </c>
      <c r="F7" s="20" t="inlineStr"/>
    </row>
    <row r="8" ht="22" customHeight="1">
      <c r="B8" s="21" t="n">
        <v>2</v>
      </c>
      <c r="C8" s="22" t="inlineStr">
        <is>
          <t>Dict comprehensions</t>
        </is>
      </c>
      <c r="D8" s="23" t="inlineStr">
        <is>
          <t>To Do</t>
        </is>
      </c>
      <c r="E8" s="24" t="inlineStr">
        <is>
          <t>Compact dict building</t>
        </is>
      </c>
      <c r="F8" s="25" t="inlineStr"/>
    </row>
    <row r="9" ht="22" customHeight="1">
      <c r="B9" s="16" t="n">
        <v>3</v>
      </c>
      <c r="C9" s="17" t="inlineStr">
        <is>
          <t>Strings in depth</t>
        </is>
      </c>
      <c r="D9" s="18" t="inlineStr">
        <is>
          <t>To Do</t>
        </is>
      </c>
      <c r="E9" s="19" t="inlineStr">
        <is>
          <t>format, join, split, strip</t>
        </is>
      </c>
      <c r="F9" s="20" t="inlineStr"/>
    </row>
    <row r="10" ht="22" customHeight="1">
      <c r="B10" s="21" t="n">
        <v>4</v>
      </c>
      <c r="C10" s="22" t="inlineStr">
        <is>
          <t>Default args / *args / **kwargs</t>
        </is>
      </c>
      <c r="D10" s="23" t="inlineStr">
        <is>
          <t>To Do</t>
        </is>
      </c>
      <c r="E10" s="24" t="inlineStr">
        <is>
          <t>Flexible function signatures</t>
        </is>
      </c>
      <c r="F10" s="25" t="inlineStr"/>
    </row>
    <row r="11" ht="22" customHeight="1">
      <c r="B11" s="16" t="n">
        <v>5</v>
      </c>
      <c r="C11" s="17" t="inlineStr">
        <is>
          <t>Lambda, map, filter</t>
        </is>
      </c>
      <c r="D11" s="18" t="inlineStr">
        <is>
          <t>To Do</t>
        </is>
      </c>
      <c r="E11" s="19" t="inlineStr">
        <is>
          <t>Functional style basics</t>
        </is>
      </c>
      <c r="F11" s="20" t="inlineStr"/>
    </row>
    <row r="12" ht="22" customHeight="1">
      <c r="B12" s="21" t="n">
        <v>6</v>
      </c>
      <c r="C12" s="22" t="inlineStr">
        <is>
          <t>Scope &amp; closures</t>
        </is>
      </c>
      <c r="D12" s="23" t="inlineStr">
        <is>
          <t>To Do</t>
        </is>
      </c>
      <c r="E12" s="24" t="inlineStr">
        <is>
          <t>LEGB rule, inner functions</t>
        </is>
      </c>
      <c r="F12" s="25" t="inlineStr"/>
    </row>
    <row r="13" ht="22" customHeight="1">
      <c r="B13" s="16" t="n">
        <v>7</v>
      </c>
      <c r="C13" s="17" t="inlineStr">
        <is>
          <t>Recursion</t>
        </is>
      </c>
      <c r="D13" s="18" t="inlineStr">
        <is>
          <t>To Do</t>
        </is>
      </c>
      <c r="E13" s="19" t="inlineStr">
        <is>
          <t>Base cases, call stack</t>
        </is>
      </c>
      <c r="F13" s="20" t="inlineStr"/>
    </row>
    <row r="14" ht="22" customHeight="1">
      <c r="B14" s="21" t="n">
        <v>8</v>
      </c>
      <c r="C14" s="22" t="inlineStr">
        <is>
          <t>Classes &amp; objects</t>
        </is>
      </c>
      <c r="D14" s="23" t="inlineStr">
        <is>
          <t>To Do</t>
        </is>
      </c>
      <c r="E14" s="24" t="inlineStr">
        <is>
          <t>__init__, self, methods</t>
        </is>
      </c>
      <c r="F14" s="25" t="inlineStr"/>
    </row>
    <row r="15" ht="22" customHeight="1">
      <c r="B15" s="16" t="n">
        <v>9</v>
      </c>
      <c r="C15" s="17" t="inlineStr">
        <is>
          <t>Inheritance</t>
        </is>
      </c>
      <c r="D15" s="18" t="inlineStr">
        <is>
          <t>To Do</t>
        </is>
      </c>
      <c r="E15" s="19" t="inlineStr">
        <is>
          <t>super(), method overriding</t>
        </is>
      </c>
      <c r="F15" s="20" t="inlineStr"/>
    </row>
    <row r="16" ht="22" customHeight="1">
      <c r="B16" s="21" t="n">
        <v>10</v>
      </c>
      <c r="C16" s="22" t="inlineStr">
        <is>
          <t>Dunder methods</t>
        </is>
      </c>
      <c r="D16" s="23" t="inlineStr">
        <is>
          <t>To Do</t>
        </is>
      </c>
      <c r="E16" s="24" t="inlineStr">
        <is>
          <t>__str__, __repr__, __len__</t>
        </is>
      </c>
      <c r="F16" s="25" t="inlineStr"/>
    </row>
    <row r="17" ht="22" customHeight="1">
      <c r="B17" s="16" t="n">
        <v>11</v>
      </c>
      <c r="C17" s="17" t="inlineStr">
        <is>
          <t>Encapsulation</t>
        </is>
      </c>
      <c r="D17" s="18" t="inlineStr">
        <is>
          <t>To Do</t>
        </is>
      </c>
      <c r="E17" s="19" t="inlineStr">
        <is>
          <t>Private attrs, @property</t>
        </is>
      </c>
      <c r="F17" s="20" t="inlineStr"/>
    </row>
    <row r="18" ht="22" customHeight="1">
      <c r="B18" s="21" t="n">
        <v>12</v>
      </c>
      <c r="C18" s="22" t="inlineStr">
        <is>
          <t>File I/O</t>
        </is>
      </c>
      <c r="D18" s="23" t="inlineStr">
        <is>
          <t>To Do</t>
        </is>
      </c>
      <c r="E18" s="24" t="inlineStr">
        <is>
          <t>open(), read, write, with statement</t>
        </is>
      </c>
      <c r="F18" s="25" t="inlineStr"/>
    </row>
    <row r="19" ht="22" customHeight="1">
      <c r="B19" s="16" t="n">
        <v>13</v>
      </c>
      <c r="C19" s="17" t="inlineStr">
        <is>
          <t>Exception handling</t>
        </is>
      </c>
      <c r="D19" s="18" t="inlineStr">
        <is>
          <t>To Do</t>
        </is>
      </c>
      <c r="E19" s="19" t="inlineStr">
        <is>
          <t>try / except / finally / raise</t>
        </is>
      </c>
      <c r="F19" s="20" t="inlineStr"/>
    </row>
    <row r="20" ht="22" customHeight="1">
      <c r="B20" s="21" t="n">
        <v>14</v>
      </c>
      <c r="C20" s="22" t="inlineStr">
        <is>
          <t>Custom exceptions</t>
        </is>
      </c>
      <c r="D20" s="23" t="inlineStr">
        <is>
          <t>To Do</t>
        </is>
      </c>
      <c r="E20" s="24" t="inlineStr">
        <is>
          <t>Extending Exception class</t>
        </is>
      </c>
      <c r="F20" s="25" t="inlineStr"/>
    </row>
    <row r="22">
      <c r="B22" s="30">
        <f>COUNTIF(D7:D20,"Done")&amp;" / 14 completed"</f>
        <v/>
      </c>
      <c r="D22" s="31">
        <f>IFERROR(COUNTIF(D7:D20,"Done")/14,0)</f>
        <v/>
      </c>
    </row>
  </sheetData>
  <mergeCells count="3">
    <mergeCell ref="B2:F2"/>
    <mergeCell ref="B22:C22"/>
    <mergeCell ref="B3:F3"/>
  </mergeCells>
  <conditionalFormatting sqref="B7:F20">
    <cfRule type="expression" priority="1" dxfId="0">
      <formula>$D7="Done"</formula>
    </cfRule>
    <cfRule type="expression" priority="2" dxfId="1">
      <formula>$D7="In Progress"</formula>
    </cfRule>
  </conditionalFormatting>
  <dataValidations count="1">
    <dataValidation sqref="D7 D8 D9 D10 D11 D12 D13 D14 D15 D16 D17 D18 D19 D20" showDropDown="0" showInputMessage="0" showErrorMessage="0" allowBlank="1" type="list">
      <formula1>"Done,In Progress,To 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4" customWidth="1" min="3" max="3"/>
    <col width="14" customWidth="1" min="4" max="4"/>
    <col width="38" customWidth="1" min="5" max="5"/>
    <col width="22" customWidth="1" min="6" max="6"/>
  </cols>
  <sheetData>
    <row r="1" ht="10" customHeight="1"/>
    <row r="2" ht="36" customHeight="1">
      <c r="B2" s="32" t="inlineStr">
        <is>
          <t>Phase 3 — Intermediate Python</t>
        </is>
      </c>
    </row>
    <row r="3" ht="20" customHeight="1">
      <c r="B3" s="33" t="inlineStr">
        <is>
          <t>Duration: 4–6 weeks</t>
        </is>
      </c>
    </row>
    <row r="4" ht="8" customHeight="1"/>
    <row r="5" ht="8" customHeight="1"/>
    <row r="6" ht="24" customHeight="1">
      <c r="B6" s="4" t="inlineStr">
        <is>
          <t>#</t>
        </is>
      </c>
      <c r="C6" s="3" t="inlineStr">
        <is>
          <t>Topic</t>
        </is>
      </c>
      <c r="D6" s="3" t="inlineStr">
        <is>
          <t>Status</t>
        </is>
      </c>
      <c r="E6" s="3" t="inlineStr">
        <is>
          <t>Description</t>
        </is>
      </c>
      <c r="F6" s="3" t="inlineStr">
        <is>
          <t>My Notes</t>
        </is>
      </c>
    </row>
    <row r="7" ht="22" customHeight="1">
      <c r="B7" s="16" t="n">
        <v>1</v>
      </c>
      <c r="C7" s="17" t="inlineStr">
        <is>
          <t>Iterators &amp; generators</t>
        </is>
      </c>
      <c r="D7" s="18" t="inlineStr">
        <is>
          <t>To Do</t>
        </is>
      </c>
      <c r="E7" s="19" t="inlineStr">
        <is>
          <t>__iter__, yield, lazy evaluation</t>
        </is>
      </c>
      <c r="F7" s="20" t="inlineStr"/>
    </row>
    <row r="8" ht="22" customHeight="1">
      <c r="B8" s="21" t="n">
        <v>2</v>
      </c>
      <c r="C8" s="22" t="inlineStr">
        <is>
          <t>Decorators</t>
        </is>
      </c>
      <c r="D8" s="23" t="inlineStr">
        <is>
          <t>To Do</t>
        </is>
      </c>
      <c r="E8" s="24" t="inlineStr">
        <is>
          <t>@wrapper, functools.wraps</t>
        </is>
      </c>
      <c r="F8" s="25" t="inlineStr"/>
    </row>
    <row r="9" ht="22" customHeight="1">
      <c r="B9" s="16" t="n">
        <v>3</v>
      </c>
      <c r="C9" s="17" t="inlineStr">
        <is>
          <t>Context managers</t>
        </is>
      </c>
      <c r="D9" s="18" t="inlineStr">
        <is>
          <t>To Do</t>
        </is>
      </c>
      <c r="E9" s="19" t="inlineStr">
        <is>
          <t>__enter__, __exit__, contextlib</t>
        </is>
      </c>
      <c r="F9" s="20" t="inlineStr"/>
    </row>
    <row r="10" ht="22" customHeight="1">
      <c r="B10" s="21" t="n">
        <v>4</v>
      </c>
      <c r="C10" s="22" t="inlineStr">
        <is>
          <t>Dataclasses</t>
        </is>
      </c>
      <c r="D10" s="23" t="inlineStr">
        <is>
          <t>To Do</t>
        </is>
      </c>
      <c r="E10" s="24" t="inlineStr">
        <is>
          <t>@dataclass, field(), frozen</t>
        </is>
      </c>
      <c r="F10" s="25" t="inlineStr"/>
    </row>
    <row r="11" ht="22" customHeight="1">
      <c r="B11" s="16" t="n">
        <v>5</v>
      </c>
      <c r="C11" s="17" t="inlineStr">
        <is>
          <t>Standard library</t>
        </is>
      </c>
      <c r="D11" s="18" t="inlineStr">
        <is>
          <t>To Do</t>
        </is>
      </c>
      <c r="E11" s="19" t="inlineStr">
        <is>
          <t>os, sys, pathlib, datetime, collections</t>
        </is>
      </c>
      <c r="F11" s="20" t="inlineStr"/>
    </row>
    <row r="12" ht="22" customHeight="1">
      <c r="B12" s="21" t="n">
        <v>6</v>
      </c>
      <c r="C12" s="22" t="inlineStr">
        <is>
          <t>Virtual environments</t>
        </is>
      </c>
      <c r="D12" s="23" t="inlineStr">
        <is>
          <t>To Do</t>
        </is>
      </c>
      <c r="E12" s="24" t="inlineStr">
        <is>
          <t>venv, pip, requirements.txt</t>
        </is>
      </c>
      <c r="F12" s="25" t="inlineStr"/>
    </row>
    <row r="13" ht="22" customHeight="1">
      <c r="B13" s="16" t="n">
        <v>7</v>
      </c>
      <c r="C13" s="17" t="inlineStr">
        <is>
          <t>Writing packages</t>
        </is>
      </c>
      <c r="D13" s="18" t="inlineStr">
        <is>
          <t>To Do</t>
        </is>
      </c>
      <c r="E13" s="19" t="inlineStr">
        <is>
          <t>__init__.py, project structure</t>
        </is>
      </c>
      <c r="F13" s="20" t="inlineStr"/>
    </row>
    <row r="14" ht="22" customHeight="1">
      <c r="B14" s="21" t="n">
        <v>8</v>
      </c>
      <c r="C14" s="22" t="inlineStr">
        <is>
          <t>JSON &amp; CSV</t>
        </is>
      </c>
      <c r="D14" s="23" t="inlineStr">
        <is>
          <t>To Do</t>
        </is>
      </c>
      <c r="E14" s="24" t="inlineStr">
        <is>
          <t>json module, csv reader/writer</t>
        </is>
      </c>
      <c r="F14" s="25" t="inlineStr"/>
    </row>
    <row r="15" ht="22" customHeight="1">
      <c r="B15" s="16" t="n">
        <v>9</v>
      </c>
      <c r="C15" s="17" t="inlineStr">
        <is>
          <t>HTTP requests</t>
        </is>
      </c>
      <c r="D15" s="18" t="inlineStr">
        <is>
          <t>To Do</t>
        </is>
      </c>
      <c r="E15" s="19" t="inlineStr">
        <is>
          <t>requests library, REST APIs</t>
        </is>
      </c>
      <c r="F15" s="20" t="inlineStr"/>
    </row>
    <row r="16" ht="22" customHeight="1">
      <c r="B16" s="21" t="n">
        <v>10</v>
      </c>
      <c r="C16" s="22" t="inlineStr">
        <is>
          <t>Regex</t>
        </is>
      </c>
      <c r="D16" s="23" t="inlineStr">
        <is>
          <t>To Do</t>
        </is>
      </c>
      <c r="E16" s="24" t="inlineStr">
        <is>
          <t>re module, groups, patterns</t>
        </is>
      </c>
      <c r="F16" s="25" t="inlineStr"/>
    </row>
    <row r="17" ht="22" customHeight="1">
      <c r="B17" s="16" t="n">
        <v>11</v>
      </c>
      <c r="C17" s="17" t="inlineStr">
        <is>
          <t>unittest</t>
        </is>
      </c>
      <c r="D17" s="18" t="inlineStr">
        <is>
          <t>To Do</t>
        </is>
      </c>
      <c r="E17" s="19" t="inlineStr">
        <is>
          <t>TestCase, setUp, assertions</t>
        </is>
      </c>
      <c r="F17" s="20" t="inlineStr"/>
    </row>
    <row r="18" ht="22" customHeight="1">
      <c r="B18" s="21" t="n">
        <v>12</v>
      </c>
      <c r="C18" s="22" t="inlineStr">
        <is>
          <t>pytest</t>
        </is>
      </c>
      <c r="D18" s="23" t="inlineStr">
        <is>
          <t>To Do</t>
        </is>
      </c>
      <c r="E18" s="24" t="inlineStr">
        <is>
          <t>fixtures, parametrize, marks</t>
        </is>
      </c>
      <c r="F18" s="25" t="inlineStr"/>
    </row>
    <row r="19" ht="22" customHeight="1">
      <c r="B19" s="16" t="n">
        <v>13</v>
      </c>
      <c r="C19" s="17" t="inlineStr">
        <is>
          <t>TDD basics</t>
        </is>
      </c>
      <c r="D19" s="18" t="inlineStr">
        <is>
          <t>To Do</t>
        </is>
      </c>
      <c r="E19" s="19" t="inlineStr">
        <is>
          <t>Red → green → refactor</t>
        </is>
      </c>
      <c r="F19" s="20" t="inlineStr"/>
    </row>
    <row r="21">
      <c r="B21" s="34">
        <f>COUNTIF(D7:D19,"Done")&amp;" / 13 completed"</f>
        <v/>
      </c>
      <c r="D21" s="35">
        <f>IFERROR(COUNTIF(D7:D19,"Done")/13,0)</f>
        <v/>
      </c>
    </row>
  </sheetData>
  <mergeCells count="3">
    <mergeCell ref="B2:F2"/>
    <mergeCell ref="B21:C21"/>
    <mergeCell ref="B3:F3"/>
  </mergeCells>
  <conditionalFormatting sqref="B7:F19">
    <cfRule type="expression" priority="1" dxfId="0">
      <formula>$D7="Done"</formula>
    </cfRule>
    <cfRule type="expression" priority="2" dxfId="1">
      <formula>$D7="In Progress"</formula>
    </cfRule>
  </conditionalFormatting>
  <dataValidations count="1">
    <dataValidation sqref="D7 D8 D9 D10 D11 D12 D13 D14 D15 D16 D17 D18 D19" showDropDown="0" showInputMessage="0" showErrorMessage="0" allowBlank="1" type="list">
      <formula1>"Done,In Progress,To 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4" customWidth="1" min="3" max="3"/>
    <col width="14" customWidth="1" min="4" max="4"/>
    <col width="38" customWidth="1" min="5" max="5"/>
    <col width="22" customWidth="1" min="6" max="6"/>
  </cols>
  <sheetData>
    <row r="1" ht="10" customHeight="1"/>
    <row r="2" ht="36" customHeight="1">
      <c r="B2" s="36" t="inlineStr">
        <is>
          <t>Phase 4 — Advanced Python</t>
        </is>
      </c>
    </row>
    <row r="3" ht="20" customHeight="1">
      <c r="B3" s="37" t="inlineStr">
        <is>
          <t>Duration: 6–10 weeks</t>
        </is>
      </c>
    </row>
    <row r="4" ht="8" customHeight="1"/>
    <row r="5" ht="8" customHeight="1"/>
    <row r="6" ht="24" customHeight="1">
      <c r="B6" s="4" t="inlineStr">
        <is>
          <t>#</t>
        </is>
      </c>
      <c r="C6" s="3" t="inlineStr">
        <is>
          <t>Topic</t>
        </is>
      </c>
      <c r="D6" s="3" t="inlineStr">
        <is>
          <t>Status</t>
        </is>
      </c>
      <c r="E6" s="3" t="inlineStr">
        <is>
          <t>Description</t>
        </is>
      </c>
      <c r="F6" s="3" t="inlineStr">
        <is>
          <t>My Notes</t>
        </is>
      </c>
    </row>
    <row r="7" ht="22" customHeight="1">
      <c r="B7" s="16" t="n">
        <v>1</v>
      </c>
      <c r="C7" s="17" t="inlineStr">
        <is>
          <t>Metaclasses</t>
        </is>
      </c>
      <c r="D7" s="18" t="inlineStr">
        <is>
          <t>To Do</t>
        </is>
      </c>
      <c r="E7" s="19" t="inlineStr">
        <is>
          <t>type(), __new__, class factories</t>
        </is>
      </c>
      <c r="F7" s="20" t="inlineStr"/>
    </row>
    <row r="8" ht="22" customHeight="1">
      <c r="B8" s="21" t="n">
        <v>2</v>
      </c>
      <c r="C8" s="22" t="inlineStr">
        <is>
          <t>Descriptors</t>
        </is>
      </c>
      <c r="D8" s="23" t="inlineStr">
        <is>
          <t>To Do</t>
        </is>
      </c>
      <c r="E8" s="24" t="inlineStr">
        <is>
          <t>__get__, __set__, __delete__</t>
        </is>
      </c>
      <c r="F8" s="25" t="inlineStr"/>
    </row>
    <row r="9" ht="22" customHeight="1">
      <c r="B9" s="16" t="n">
        <v>3</v>
      </c>
      <c r="C9" s="17" t="inlineStr">
        <is>
          <t>Abstract classes</t>
        </is>
      </c>
      <c r="D9" s="18" t="inlineStr">
        <is>
          <t>To Do</t>
        </is>
      </c>
      <c r="E9" s="19" t="inlineStr">
        <is>
          <t>abc module, ABCMeta</t>
        </is>
      </c>
      <c r="F9" s="20" t="inlineStr"/>
    </row>
    <row r="10" ht="22" customHeight="1">
      <c r="B10" s="21" t="n">
        <v>4</v>
      </c>
      <c r="C10" s="22" t="inlineStr">
        <is>
          <t>Type hints</t>
        </is>
      </c>
      <c r="D10" s="23" t="inlineStr">
        <is>
          <t>To Do</t>
        </is>
      </c>
      <c r="E10" s="24" t="inlineStr">
        <is>
          <t>typing module, mypy, generics</t>
        </is>
      </c>
      <c r="F10" s="25" t="inlineStr"/>
    </row>
    <row r="11" ht="22" customHeight="1">
      <c r="B11" s="16" t="n">
        <v>5</v>
      </c>
      <c r="C11" s="17" t="inlineStr">
        <is>
          <t>Threading</t>
        </is>
      </c>
      <c r="D11" s="18" t="inlineStr">
        <is>
          <t>To Do</t>
        </is>
      </c>
      <c r="E11" s="19" t="inlineStr">
        <is>
          <t>Thread, Lock, thread safety</t>
        </is>
      </c>
      <c r="F11" s="20" t="inlineStr"/>
    </row>
    <row r="12" ht="22" customHeight="1">
      <c r="B12" s="21" t="n">
        <v>6</v>
      </c>
      <c r="C12" s="22" t="inlineStr">
        <is>
          <t>Multiprocessing</t>
        </is>
      </c>
      <c r="D12" s="23" t="inlineStr">
        <is>
          <t>To Do</t>
        </is>
      </c>
      <c r="E12" s="24" t="inlineStr">
        <is>
          <t>Process, Pool, shared memory</t>
        </is>
      </c>
      <c r="F12" s="25" t="inlineStr"/>
    </row>
    <row r="13" ht="22" customHeight="1">
      <c r="B13" s="16" t="n">
        <v>7</v>
      </c>
      <c r="C13" s="17" t="inlineStr">
        <is>
          <t>Async / await</t>
        </is>
      </c>
      <c r="D13" s="18" t="inlineStr">
        <is>
          <t>To Do</t>
        </is>
      </c>
      <c r="E13" s="19" t="inlineStr">
        <is>
          <t>asyncio, event loop, coroutines</t>
        </is>
      </c>
      <c r="F13" s="20" t="inlineStr"/>
    </row>
    <row r="14" ht="22" customHeight="1">
      <c r="B14" s="21" t="n">
        <v>8</v>
      </c>
      <c r="C14" s="22" t="inlineStr">
        <is>
          <t>aiohttp</t>
        </is>
      </c>
      <c r="D14" s="23" t="inlineStr">
        <is>
          <t>To Do</t>
        </is>
      </c>
      <c r="E14" s="24" t="inlineStr">
        <is>
          <t>Async HTTP clients/servers</t>
        </is>
      </c>
      <c r="F14" s="25" t="inlineStr"/>
    </row>
    <row r="15" ht="22" customHeight="1">
      <c r="B15" s="16" t="n">
        <v>9</v>
      </c>
      <c r="C15" s="17" t="inlineStr">
        <is>
          <t>Profiling</t>
        </is>
      </c>
      <c r="D15" s="18" t="inlineStr">
        <is>
          <t>To Do</t>
        </is>
      </c>
      <c r="E15" s="19" t="inlineStr">
        <is>
          <t>cProfile, line_profiler, memory_profiler</t>
        </is>
      </c>
      <c r="F15" s="20" t="inlineStr"/>
    </row>
    <row r="16" ht="22" customHeight="1">
      <c r="B16" s="21" t="n">
        <v>10</v>
      </c>
      <c r="C16" s="22" t="inlineStr">
        <is>
          <t>Caching</t>
        </is>
      </c>
      <c r="D16" s="23" t="inlineStr">
        <is>
          <t>To Do</t>
        </is>
      </c>
      <c r="E16" s="24" t="inlineStr">
        <is>
          <t>functools.lru_cache, diskcache</t>
        </is>
      </c>
      <c r="F16" s="25" t="inlineStr"/>
    </row>
    <row r="17" ht="22" customHeight="1">
      <c r="B17" s="16" t="n">
        <v>11</v>
      </c>
      <c r="C17" s="17" t="inlineStr">
        <is>
          <t>C extensions intro</t>
        </is>
      </c>
      <c r="D17" s="18" t="inlineStr">
        <is>
          <t>To Do</t>
        </is>
      </c>
      <c r="E17" s="19" t="inlineStr">
        <is>
          <t>ctypes, Cython basics</t>
        </is>
      </c>
      <c r="F17" s="20" t="inlineStr"/>
    </row>
    <row r="18" ht="22" customHeight="1">
      <c r="B18" s="21" t="n">
        <v>12</v>
      </c>
      <c r="C18" s="22" t="inlineStr">
        <is>
          <t>NumPy internals</t>
        </is>
      </c>
      <c r="D18" s="23" t="inlineStr">
        <is>
          <t>To Do</t>
        </is>
      </c>
      <c r="E18" s="24" t="inlineStr">
        <is>
          <t>Vectorization, broadcasting</t>
        </is>
      </c>
      <c r="F18" s="25" t="inlineStr"/>
    </row>
    <row r="19" ht="22" customHeight="1">
      <c r="B19" s="16" t="n">
        <v>13</v>
      </c>
      <c r="C19" s="17" t="inlineStr">
        <is>
          <t>Design patterns — Creational</t>
        </is>
      </c>
      <c r="D19" s="18" t="inlineStr">
        <is>
          <t>To Do</t>
        </is>
      </c>
      <c r="E19" s="19" t="inlineStr">
        <is>
          <t>Singleton, Factory, Builder</t>
        </is>
      </c>
      <c r="F19" s="20" t="inlineStr"/>
    </row>
    <row r="20" ht="22" customHeight="1">
      <c r="B20" s="21" t="n">
        <v>14</v>
      </c>
      <c r="C20" s="22" t="inlineStr">
        <is>
          <t>Design patterns — Structural</t>
        </is>
      </c>
      <c r="D20" s="23" t="inlineStr">
        <is>
          <t>To Do</t>
        </is>
      </c>
      <c r="E20" s="24" t="inlineStr">
        <is>
          <t>Adapter, Decorator, Proxy</t>
        </is>
      </c>
      <c r="F20" s="25" t="inlineStr"/>
    </row>
    <row r="21" ht="22" customHeight="1">
      <c r="B21" s="16" t="n">
        <v>15</v>
      </c>
      <c r="C21" s="17" t="inlineStr">
        <is>
          <t>Design patterns — Behavioral</t>
        </is>
      </c>
      <c r="D21" s="18" t="inlineStr">
        <is>
          <t>To Do</t>
        </is>
      </c>
      <c r="E21" s="19" t="inlineStr">
        <is>
          <t>Observer, Strategy, Command</t>
        </is>
      </c>
      <c r="F21" s="20" t="inlineStr"/>
    </row>
    <row r="22" ht="22" customHeight="1">
      <c r="B22" s="21" t="n">
        <v>16</v>
      </c>
      <c r="C22" s="22" t="inlineStr">
        <is>
          <t>Clean architecture</t>
        </is>
      </c>
      <c r="D22" s="23" t="inlineStr">
        <is>
          <t>To Do</t>
        </is>
      </c>
      <c r="E22" s="24" t="inlineStr">
        <is>
          <t>SOLID principles, dependency injection</t>
        </is>
      </c>
      <c r="F22" s="25" t="inlineStr"/>
    </row>
    <row r="23" ht="22" customHeight="1">
      <c r="B23" s="16" t="n">
        <v>17</v>
      </c>
      <c r="C23" s="17" t="inlineStr">
        <is>
          <t>FastAPI</t>
        </is>
      </c>
      <c r="D23" s="18" t="inlineStr">
        <is>
          <t>To Do</t>
        </is>
      </c>
      <c r="E23" s="19" t="inlineStr">
        <is>
          <t>Routes, middleware, request/response</t>
        </is>
      </c>
      <c r="F23" s="20" t="inlineStr"/>
    </row>
    <row r="24" ht="22" customHeight="1">
      <c r="B24" s="21" t="n">
        <v>18</v>
      </c>
      <c r="C24" s="22" t="inlineStr">
        <is>
          <t>SQLAlchemy</t>
        </is>
      </c>
      <c r="D24" s="23" t="inlineStr">
        <is>
          <t>To Do</t>
        </is>
      </c>
      <c r="E24" s="24" t="inlineStr">
        <is>
          <t>ORM, migrations, sessions</t>
        </is>
      </c>
      <c r="F24" s="25" t="inlineStr"/>
    </row>
    <row r="25" ht="22" customHeight="1">
      <c r="B25" s="16" t="n">
        <v>19</v>
      </c>
      <c r="C25" s="17" t="inlineStr">
        <is>
          <t>Pydantic v2</t>
        </is>
      </c>
      <c r="D25" s="18" t="inlineStr">
        <is>
          <t>To Do</t>
        </is>
      </c>
      <c r="E25" s="19" t="inlineStr">
        <is>
          <t>Data validation, models</t>
        </is>
      </c>
      <c r="F25" s="20" t="inlineStr"/>
    </row>
    <row r="26" ht="22" customHeight="1">
      <c r="B26" s="21" t="n">
        <v>20</v>
      </c>
      <c r="C26" s="22" t="inlineStr">
        <is>
          <t>Docker + CI</t>
        </is>
      </c>
      <c r="D26" s="23" t="inlineStr">
        <is>
          <t>To Do</t>
        </is>
      </c>
      <c r="E26" s="24" t="inlineStr">
        <is>
          <t>Containerize Python apps, GitHub Actions</t>
        </is>
      </c>
      <c r="F26" s="25" t="inlineStr"/>
    </row>
    <row r="28">
      <c r="B28" s="38">
        <f>COUNTIF(D7:D26,"Done")&amp;" / 20 completed"</f>
        <v/>
      </c>
      <c r="D28" s="39">
        <f>IFERROR(COUNTIF(D7:D26,"Done")/20,0)</f>
        <v/>
      </c>
    </row>
  </sheetData>
  <mergeCells count="3">
    <mergeCell ref="B2:F2"/>
    <mergeCell ref="B3:F3"/>
    <mergeCell ref="B28:C28"/>
  </mergeCells>
  <conditionalFormatting sqref="B7:F26">
    <cfRule type="expression" priority="1" dxfId="0">
      <formula>$D7="Done"</formula>
    </cfRule>
    <cfRule type="expression" priority="2" dxfId="1">
      <formula>$D7="In Progress"</formula>
    </cfRule>
  </conditionalFormatting>
  <dataValidations count="1">
    <dataValidation sqref="D7 D8 D9 D10 D11 D12 D13 D14 D15 D16 D17 D18 D19 D20 D21 D22 D23 D24 D25 D26" showDropDown="0" showInputMessage="0" showErrorMessage="0" allowBlank="1" type="list">
      <formula1>"Done,In Progress,To 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2026-06-06T12:32:40Z</dcterms:created>
  <dcterms:modified xmlns:dcterms="http://purl.org/dc/terms/" xmlns:xsi="http://www.w3.org/2001/XMLSchema-instance" xsi:type="dcterms:W3CDTF">2026-06-06T12:32:40Z</dcterms:modified>
</cp:coreProperties>
</file>